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a900080496fcea5a/FINAL DATASET/"/>
    </mc:Choice>
  </mc:AlternateContent>
  <xr:revisionPtr revIDLastSave="33" documentId="8_{978EAEFE-BF3F-4F50-99B8-F1646CD0F1DD}" xr6:coauthVersionLast="47" xr6:coauthVersionMax="47" xr10:uidLastSave="{6DCD8840-AE07-441B-BBE2-9ED285BE64EB}"/>
  <bookViews>
    <workbookView xWindow="-108" yWindow="-108" windowWidth="23256" windowHeight="12456" activeTab="3" xr2:uid="{4C04BA8E-6B95-4109-A60A-8CC406AD78D2}"/>
  </bookViews>
  <sheets>
    <sheet name="FDS Raw Data" sheetId="1" r:id="rId1"/>
    <sheet name="4Ps Members Raw Data" sheetId="4" r:id="rId2"/>
    <sheet name="Analysis" sheetId="2" r:id="rId3"/>
    <sheet name="Matrix"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2" i="3"/>
  <c r="D4" i="3"/>
  <c r="D5" i="3"/>
  <c r="D6" i="3"/>
  <c r="D7" i="3"/>
  <c r="D8" i="3"/>
  <c r="D9" i="3"/>
  <c r="D10" i="3"/>
  <c r="D11" i="3"/>
  <c r="D12" i="3"/>
  <c r="D13" i="3"/>
  <c r="D14" i="3"/>
  <c r="D15" i="3"/>
  <c r="D16" i="3"/>
  <c r="D17" i="3"/>
  <c r="D18" i="3"/>
  <c r="D3" i="3"/>
  <c r="D2" i="3"/>
</calcChain>
</file>

<file path=xl/sharedStrings.xml><?xml version="1.0" encoding="utf-8"?>
<sst xmlns="http://schemas.openxmlformats.org/spreadsheetml/2006/main" count="80" uniqueCount="43">
  <si>
    <t>Region</t>
  </si>
  <si>
    <t>NCR</t>
  </si>
  <si>
    <t>CAR</t>
  </si>
  <si>
    <t>I</t>
  </si>
  <si>
    <t>II</t>
  </si>
  <si>
    <t>III</t>
  </si>
  <si>
    <t>IV-A</t>
  </si>
  <si>
    <t>IV-B</t>
  </si>
  <si>
    <t>V</t>
  </si>
  <si>
    <t>VI</t>
  </si>
  <si>
    <t>VII</t>
  </si>
  <si>
    <t>VIII</t>
  </si>
  <si>
    <t>IX</t>
  </si>
  <si>
    <t>X</t>
  </si>
  <si>
    <t>XI</t>
  </si>
  <si>
    <t>XII</t>
  </si>
  <si>
    <t>XIII</t>
  </si>
  <si>
    <t>BARMM</t>
  </si>
  <si>
    <t>FDS Compliance Rate</t>
  </si>
  <si>
    <t>DEFINITIONS:</t>
  </si>
  <si>
    <r>
      <rPr>
        <b/>
        <sz val="11"/>
        <color theme="1"/>
        <rFont val="Aptos Narrow"/>
        <family val="2"/>
        <scheme val="minor"/>
      </rPr>
      <t>FDS - Family Development Session</t>
    </r>
    <r>
      <rPr>
        <sz val="11"/>
        <color theme="1"/>
        <rFont val="Aptos Narrow"/>
        <family val="2"/>
        <scheme val="minor"/>
      </rPr>
      <t>: A monthly learning session that is both a requirement and a transformational tool of 4Ps to strengthen families and communities.</t>
    </r>
  </si>
  <si>
    <t>Actual Beneficiaries</t>
  </si>
  <si>
    <t>FDS Compliance Rate Per Region - Bar Chart</t>
  </si>
  <si>
    <r>
      <t xml:space="preserve">Insight: </t>
    </r>
    <r>
      <rPr>
        <sz val="11"/>
        <color theme="1"/>
        <rFont val="Aptos Narrow"/>
        <family val="2"/>
        <scheme val="minor"/>
      </rPr>
      <t>Regions I, II, III, IV-A, V, CAR, and NCR did not meet the 95% Target FDS Compliance Rate set by DSWD. NCR got the lowest attendance rate at only 88.5%.</t>
    </r>
  </si>
  <si>
    <t>4Ps Member Count</t>
  </si>
  <si>
    <t>FDS Compliance</t>
  </si>
  <si>
    <t>Adjusted X</t>
  </si>
  <si>
    <t>Adjusted Y</t>
  </si>
  <si>
    <t xml:space="preserve">Explanation: This matrix plots 4Ps Beneficiaries Count (x-axis) vs. FDS Compliance Rate (y-axis).  </t>
  </si>
  <si>
    <t>FDS Compliance Rate vs. 4Ps Beneficiaries Count (2024)</t>
  </si>
  <si>
    <r>
      <rPr>
        <b/>
        <sz val="11"/>
        <color theme="1"/>
        <rFont val="Aptos Narrow"/>
        <family val="2"/>
        <scheme val="minor"/>
      </rPr>
      <t>Q1</t>
    </r>
    <r>
      <rPr>
        <sz val="11"/>
        <color theme="1"/>
        <rFont val="Aptos Narrow"/>
        <family val="2"/>
        <scheme val="minor"/>
      </rPr>
      <t xml:space="preserve"> - High 4Ps Beneficiaries Count with High (above 95% FDS Compliance Rate) - Regions VI, VII, VIII, IX, XI</t>
    </r>
  </si>
  <si>
    <r>
      <rPr>
        <b/>
        <sz val="11"/>
        <color theme="1"/>
        <rFont val="Aptos Narrow"/>
        <family val="2"/>
        <scheme val="minor"/>
      </rPr>
      <t xml:space="preserve">Q3 </t>
    </r>
    <r>
      <rPr>
        <sz val="11"/>
        <color theme="1"/>
        <rFont val="Aptos Narrow"/>
        <family val="2"/>
        <scheme val="minor"/>
      </rPr>
      <t>- Low 4Ps Beneficiaries Count with Low (below 95% FDS Compliance Rate) - Regions I, II, NCR, CAR</t>
    </r>
  </si>
  <si>
    <r>
      <rPr>
        <b/>
        <sz val="11"/>
        <color theme="1"/>
        <rFont val="Aptos Narrow"/>
        <family val="2"/>
        <scheme val="minor"/>
      </rPr>
      <t xml:space="preserve">Q4 </t>
    </r>
    <r>
      <rPr>
        <sz val="11"/>
        <color theme="1"/>
        <rFont val="Aptos Narrow"/>
        <family val="2"/>
        <scheme val="minor"/>
      </rPr>
      <t>- High 4Ps Beneficiaries Count with Low (below 95% FDS Compliance Rate) - Regions III, IV-A, V</t>
    </r>
  </si>
  <si>
    <r>
      <rPr>
        <b/>
        <sz val="11"/>
        <color theme="1"/>
        <rFont val="Aptos Narrow"/>
        <family val="2"/>
        <scheme val="minor"/>
      </rPr>
      <t xml:space="preserve">Q2 </t>
    </r>
    <r>
      <rPr>
        <sz val="11"/>
        <color theme="1"/>
        <rFont val="Aptos Narrow"/>
        <family val="2"/>
        <scheme val="minor"/>
      </rPr>
      <t>- Low 4Ps Beneficiaries Count with High (above 95% FDS Compliance Rate) - Regions IV-B, XII, XIII, BARMM</t>
    </r>
  </si>
  <si>
    <r>
      <rPr>
        <b/>
        <sz val="11"/>
        <color theme="1"/>
        <rFont val="Aptos Narrow"/>
        <family val="2"/>
        <scheme val="minor"/>
      </rPr>
      <t xml:space="preserve">Purpose: </t>
    </r>
    <r>
      <rPr>
        <sz val="11"/>
        <color theme="1"/>
        <rFont val="Aptos Narrow"/>
        <family val="2"/>
        <scheme val="minor"/>
      </rPr>
      <t>To show and compare the varying percentages/rates of FDS Compliance per Region, as an indicator of the success of Community Participation, to identify  the regions that have weak community participation based on FDS.</t>
    </r>
  </si>
  <si>
    <r>
      <t xml:space="preserve">Purpose: </t>
    </r>
    <r>
      <rPr>
        <sz val="11"/>
        <color theme="1"/>
        <rFont val="Aptos Narrow"/>
        <family val="2"/>
        <scheme val="minor"/>
      </rPr>
      <t>To identify the critical focus areas that should be prioritized and given tailored interventions to strengthen community participation.</t>
    </r>
  </si>
  <si>
    <t xml:space="preserve">Quadrant Interpretation: </t>
  </si>
  <si>
    <t>Insight: Despite large 4Ps coverage, Regions III, V, and most notably, IV-A, showed weak community participation.</t>
  </si>
  <si>
    <t>This means that a lot of 4Ps families in these regions are missing out on the vital lessons of FDS, highlighting the need for focused interventions that will nurture more families and strengthen their communities.</t>
  </si>
  <si>
    <r>
      <rPr>
        <b/>
        <sz val="11"/>
        <color theme="1"/>
        <rFont val="Aptos Narrow"/>
        <family val="2"/>
        <scheme val="minor"/>
      </rPr>
      <t>FDS Compliance Rate</t>
    </r>
    <r>
      <rPr>
        <sz val="11"/>
        <color theme="1"/>
        <rFont val="Aptos Narrow"/>
        <family val="2"/>
        <scheme val="minor"/>
      </rPr>
      <t xml:space="preserve"> - is the quotient of the actual 4Ps beneficiaries attendees of the Family Development Session over the total number of eligible attendees/beneficiaries in the 4th quarter of 2024.</t>
    </r>
  </si>
  <si>
    <r>
      <t xml:space="preserve">Actual Beneficiaries - </t>
    </r>
    <r>
      <rPr>
        <sz val="11"/>
        <color theme="1"/>
        <rFont val="Aptos Narrow"/>
        <family val="2"/>
        <scheme val="minor"/>
      </rPr>
      <t>Is the actual number of 4Ps beneficiaries in the 4th quarter of 2024 (same period used in FDS)</t>
    </r>
    <r>
      <rPr>
        <b/>
        <sz val="11"/>
        <color theme="1"/>
        <rFont val="Aptos Narrow"/>
        <family val="2"/>
        <scheme val="minor"/>
      </rPr>
      <t>.</t>
    </r>
  </si>
  <si>
    <r>
      <t xml:space="preserve">Median was used to split the 4Ps Beneficiaries Count into 2 quadrants; </t>
    </r>
    <r>
      <rPr>
        <b/>
        <sz val="11"/>
        <color theme="1"/>
        <rFont val="Aptos Narrow"/>
        <family val="2"/>
        <scheme val="minor"/>
      </rPr>
      <t>Computation for Adjusted X = x - Median(x)</t>
    </r>
  </si>
  <si>
    <r>
      <t xml:space="preserve">Below or above 95% was used to split the FDS Compliance Rate, as this is the target set by DSWD; </t>
    </r>
    <r>
      <rPr>
        <b/>
        <sz val="11"/>
        <color theme="1"/>
        <rFont val="Aptos Narrow"/>
        <family val="2"/>
        <scheme val="minor"/>
      </rPr>
      <t>Computation for Adjusted Y = y - 95%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</si>
</sst>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ptos Narrow"/>
      <family val="2"/>
    </font>
    <font>
      <b/>
      <i/>
      <sz val="9"/>
      <color rgb="FF1D1C1D"/>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xf>
    <xf numFmtId="0" fontId="0" fillId="0" borderId="1" xfId="0" applyBorder="1"/>
    <xf numFmtId="2" fontId="0" fillId="0" borderId="1" xfId="0" applyNumberFormat="1" applyBorder="1"/>
    <xf numFmtId="0" fontId="1" fillId="0" borderId="0" xfId="0" applyFont="1"/>
    <xf numFmtId="0" fontId="2" fillId="0" borderId="1" xfId="0" applyFont="1" applyBorder="1"/>
    <xf numFmtId="1" fontId="2" fillId="0" borderId="1" xfId="0" applyNumberFormat="1" applyFont="1" applyBorder="1" applyAlignment="1">
      <alignment horizontal="right"/>
    </xf>
    <xf numFmtId="0" fontId="1" fillId="0" borderId="0" xfId="0" applyFont="1" applyAlignment="1">
      <alignment horizontal="left"/>
    </xf>
    <xf numFmtId="0" fontId="3" fillId="0" borderId="0" xfId="0" applyFont="1" applyAlignment="1">
      <alignment horizontal="left"/>
    </xf>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5</xdr:row>
      <xdr:rowOff>16937</xdr:rowOff>
    </xdr:from>
    <xdr:to>
      <xdr:col>11</xdr:col>
      <xdr:colOff>49679</xdr:colOff>
      <xdr:row>26</xdr:row>
      <xdr:rowOff>76201</xdr:rowOff>
    </xdr:to>
    <xdr:pic>
      <xdr:nvPicPr>
        <xdr:cNvPr id="2" name="Picture 1">
          <a:extLst>
            <a:ext uri="{FF2B5EF4-FFF2-40B4-BE49-F238E27FC236}">
              <a16:creationId xmlns:a16="http://schemas.microsoft.com/office/drawing/2014/main" id="{0264D776-E9BF-40C1-8AFF-3363649F6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48270"/>
          <a:ext cx="6704479" cy="397086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24000</xdr:colOff>
      <xdr:row>20</xdr:row>
      <xdr:rowOff>2452</xdr:rowOff>
    </xdr:from>
    <xdr:to>
      <xdr:col>4</xdr:col>
      <xdr:colOff>978000</xdr:colOff>
      <xdr:row>41</xdr:row>
      <xdr:rowOff>99454</xdr:rowOff>
    </xdr:to>
    <xdr:pic>
      <xdr:nvPicPr>
        <xdr:cNvPr id="3" name="Picture 2">
          <a:extLst>
            <a:ext uri="{FF2B5EF4-FFF2-40B4-BE49-F238E27FC236}">
              <a16:creationId xmlns:a16="http://schemas.microsoft.com/office/drawing/2014/main" id="{7DA572D2-4992-4DF7-8C21-DBFF06D64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0" y="3644716"/>
          <a:ext cx="5094679" cy="39213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0EB2B-734E-41F9-B72B-931E73A44644}">
  <dimension ref="A1:D18"/>
  <sheetViews>
    <sheetView workbookViewId="0">
      <selection activeCell="D1" sqref="D1:D2"/>
    </sheetView>
  </sheetViews>
  <sheetFormatPr defaultRowHeight="14.4" x14ac:dyDescent="0.3"/>
  <cols>
    <col min="2" max="2" width="19.5546875" customWidth="1"/>
  </cols>
  <sheetData>
    <row r="1" spans="1:4" x14ac:dyDescent="0.3">
      <c r="A1" s="1" t="s">
        <v>0</v>
      </c>
      <c r="B1" s="1" t="s">
        <v>18</v>
      </c>
      <c r="D1" s="4" t="s">
        <v>19</v>
      </c>
    </row>
    <row r="2" spans="1:4" x14ac:dyDescent="0.3">
      <c r="A2" s="2" t="s">
        <v>1</v>
      </c>
      <c r="B2" s="3">
        <v>88.52</v>
      </c>
      <c r="D2" t="s">
        <v>20</v>
      </c>
    </row>
    <row r="3" spans="1:4" x14ac:dyDescent="0.3">
      <c r="A3" s="2" t="s">
        <v>2</v>
      </c>
      <c r="B3" s="3">
        <v>92.04</v>
      </c>
      <c r="D3" t="s">
        <v>39</v>
      </c>
    </row>
    <row r="4" spans="1:4" x14ac:dyDescent="0.3">
      <c r="A4" s="2" t="s">
        <v>3</v>
      </c>
      <c r="B4" s="3">
        <v>93.23</v>
      </c>
    </row>
    <row r="5" spans="1:4" x14ac:dyDescent="0.3">
      <c r="A5" s="2" t="s">
        <v>4</v>
      </c>
      <c r="B5" s="3">
        <v>94.14</v>
      </c>
    </row>
    <row r="6" spans="1:4" x14ac:dyDescent="0.3">
      <c r="A6" s="2" t="s">
        <v>5</v>
      </c>
      <c r="B6" s="3">
        <v>94.28</v>
      </c>
    </row>
    <row r="7" spans="1:4" x14ac:dyDescent="0.3">
      <c r="A7" s="2" t="s">
        <v>6</v>
      </c>
      <c r="B7" s="3">
        <v>91.05</v>
      </c>
    </row>
    <row r="8" spans="1:4" x14ac:dyDescent="0.3">
      <c r="A8" s="2" t="s">
        <v>7</v>
      </c>
      <c r="B8" s="3">
        <v>95.13</v>
      </c>
    </row>
    <row r="9" spans="1:4" x14ac:dyDescent="0.3">
      <c r="A9" s="2" t="s">
        <v>8</v>
      </c>
      <c r="B9" s="3">
        <v>94.6</v>
      </c>
    </row>
    <row r="10" spans="1:4" x14ac:dyDescent="0.3">
      <c r="A10" s="2" t="s">
        <v>9</v>
      </c>
      <c r="B10" s="3">
        <v>96.72</v>
      </c>
    </row>
    <row r="11" spans="1:4" x14ac:dyDescent="0.3">
      <c r="A11" s="2" t="s">
        <v>10</v>
      </c>
      <c r="B11" s="3">
        <v>95.45</v>
      </c>
    </row>
    <row r="12" spans="1:4" x14ac:dyDescent="0.3">
      <c r="A12" s="2" t="s">
        <v>11</v>
      </c>
      <c r="B12" s="3">
        <v>95.8</v>
      </c>
    </row>
    <row r="13" spans="1:4" x14ac:dyDescent="0.3">
      <c r="A13" s="2" t="s">
        <v>12</v>
      </c>
      <c r="B13" s="3">
        <v>96.93</v>
      </c>
    </row>
    <row r="14" spans="1:4" x14ac:dyDescent="0.3">
      <c r="A14" s="2" t="s">
        <v>13</v>
      </c>
      <c r="B14" s="3">
        <v>97.7</v>
      </c>
    </row>
    <row r="15" spans="1:4" x14ac:dyDescent="0.3">
      <c r="A15" s="2" t="s">
        <v>14</v>
      </c>
      <c r="B15" s="3">
        <v>95.24</v>
      </c>
    </row>
    <row r="16" spans="1:4" x14ac:dyDescent="0.3">
      <c r="A16" s="2" t="s">
        <v>15</v>
      </c>
      <c r="B16" s="3">
        <v>96.88</v>
      </c>
    </row>
    <row r="17" spans="1:2" x14ac:dyDescent="0.3">
      <c r="A17" s="2" t="s">
        <v>16</v>
      </c>
      <c r="B17" s="3">
        <v>96.86</v>
      </c>
    </row>
    <row r="18" spans="1:2" x14ac:dyDescent="0.3">
      <c r="A18" s="2" t="s">
        <v>17</v>
      </c>
      <c r="B18" s="3">
        <v>95.26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E223-45B7-4380-B8AE-6923D3FF5DAA}">
  <dimension ref="A1:D18"/>
  <sheetViews>
    <sheetView workbookViewId="0">
      <selection activeCell="K9" sqref="K9"/>
    </sheetView>
  </sheetViews>
  <sheetFormatPr defaultRowHeight="14.4" x14ac:dyDescent="0.3"/>
  <cols>
    <col min="2" max="2" width="19" customWidth="1"/>
  </cols>
  <sheetData>
    <row r="1" spans="1:4" x14ac:dyDescent="0.3">
      <c r="A1" s="1" t="s">
        <v>0</v>
      </c>
      <c r="B1" s="1" t="s">
        <v>21</v>
      </c>
      <c r="D1" s="4" t="s">
        <v>19</v>
      </c>
    </row>
    <row r="2" spans="1:4" x14ac:dyDescent="0.3">
      <c r="A2" s="5" t="s">
        <v>1</v>
      </c>
      <c r="B2" s="6">
        <v>173328</v>
      </c>
      <c r="D2" s="4" t="s">
        <v>40</v>
      </c>
    </row>
    <row r="3" spans="1:4" x14ac:dyDescent="0.3">
      <c r="A3" s="5" t="s">
        <v>2</v>
      </c>
      <c r="B3" s="6">
        <v>53436</v>
      </c>
    </row>
    <row r="4" spans="1:4" x14ac:dyDescent="0.3">
      <c r="A4" s="5" t="s">
        <v>3</v>
      </c>
      <c r="B4" s="6">
        <v>203012</v>
      </c>
    </row>
    <row r="5" spans="1:4" x14ac:dyDescent="0.3">
      <c r="A5" s="5" t="s">
        <v>4</v>
      </c>
      <c r="B5" s="6">
        <v>121694</v>
      </c>
    </row>
    <row r="6" spans="1:4" x14ac:dyDescent="0.3">
      <c r="A6" s="5" t="s">
        <v>5</v>
      </c>
      <c r="B6" s="6">
        <v>280468</v>
      </c>
    </row>
    <row r="7" spans="1:4" x14ac:dyDescent="0.3">
      <c r="A7" s="5" t="s">
        <v>6</v>
      </c>
      <c r="B7" s="6">
        <v>315545</v>
      </c>
    </row>
    <row r="8" spans="1:4" x14ac:dyDescent="0.3">
      <c r="A8" s="5" t="s">
        <v>7</v>
      </c>
      <c r="B8" s="6">
        <v>204982</v>
      </c>
    </row>
    <row r="9" spans="1:4" x14ac:dyDescent="0.3">
      <c r="A9" s="5" t="s">
        <v>8</v>
      </c>
      <c r="B9" s="6">
        <v>377030</v>
      </c>
    </row>
    <row r="10" spans="1:4" x14ac:dyDescent="0.3">
      <c r="A10" s="5" t="s">
        <v>9</v>
      </c>
      <c r="B10" s="6">
        <v>333505</v>
      </c>
    </row>
    <row r="11" spans="1:4" x14ac:dyDescent="0.3">
      <c r="A11" s="5" t="s">
        <v>10</v>
      </c>
      <c r="B11" s="6">
        <v>290060</v>
      </c>
    </row>
    <row r="12" spans="1:4" x14ac:dyDescent="0.3">
      <c r="A12" s="5" t="s">
        <v>11</v>
      </c>
      <c r="B12" s="6">
        <v>267218</v>
      </c>
    </row>
    <row r="13" spans="1:4" x14ac:dyDescent="0.3">
      <c r="A13" s="5" t="s">
        <v>12</v>
      </c>
      <c r="B13" s="6">
        <v>280072</v>
      </c>
    </row>
    <row r="14" spans="1:4" x14ac:dyDescent="0.3">
      <c r="A14" s="5" t="s">
        <v>13</v>
      </c>
      <c r="B14" s="6">
        <v>243671</v>
      </c>
    </row>
    <row r="15" spans="1:4" x14ac:dyDescent="0.3">
      <c r="A15" s="5" t="s">
        <v>14</v>
      </c>
      <c r="B15" s="6">
        <v>263631</v>
      </c>
    </row>
    <row r="16" spans="1:4" x14ac:dyDescent="0.3">
      <c r="A16" s="5" t="s">
        <v>15</v>
      </c>
      <c r="B16" s="6">
        <v>210395</v>
      </c>
    </row>
    <row r="17" spans="1:2" x14ac:dyDescent="0.3">
      <c r="A17" s="5" t="s">
        <v>16</v>
      </c>
      <c r="B17" s="6">
        <v>183790</v>
      </c>
    </row>
    <row r="18" spans="1:2" x14ac:dyDescent="0.3">
      <c r="A18" s="5" t="s">
        <v>17</v>
      </c>
      <c r="B18" s="6">
        <v>226232</v>
      </c>
    </row>
  </sheetData>
  <sortState xmlns:xlrd2="http://schemas.microsoft.com/office/spreadsheetml/2017/richdata2" ref="A2:B18">
    <sortCondition ref="A2:A18" customList="NCR,CAR,I,II,III,IV-A,IV-B,V,VI,VII,VIII,IX,X,XI,XII,XIII,BARMM"/>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006E-7104-4C9B-898F-3388E6F31DBD}">
  <dimension ref="A2:A4"/>
  <sheetViews>
    <sheetView zoomScale="90" workbookViewId="0">
      <selection activeCell="O23" sqref="O23"/>
    </sheetView>
  </sheetViews>
  <sheetFormatPr defaultRowHeight="14.4" x14ac:dyDescent="0.3"/>
  <sheetData>
    <row r="2" spans="1:1" x14ac:dyDescent="0.3">
      <c r="A2" s="7" t="s">
        <v>22</v>
      </c>
    </row>
    <row r="3" spans="1:1" x14ac:dyDescent="0.3">
      <c r="A3" t="s">
        <v>34</v>
      </c>
    </row>
    <row r="4" spans="1:1" x14ac:dyDescent="0.3">
      <c r="A4" s="4" t="s">
        <v>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8F7A2-B41D-48F0-B366-E57D6E57352A}">
  <dimension ref="A1:N34"/>
  <sheetViews>
    <sheetView tabSelected="1" topLeftCell="A3" zoomScale="106" workbookViewId="0">
      <selection activeCell="J17" sqref="J17"/>
    </sheetView>
  </sheetViews>
  <sheetFormatPr defaultRowHeight="14.4" x14ac:dyDescent="0.3"/>
  <cols>
    <col min="2" max="2" width="19.77734375" customWidth="1"/>
    <col min="3" max="3" width="18.33203125" customWidth="1"/>
    <col min="4" max="4" width="13.44140625" customWidth="1"/>
    <col min="5" max="5" width="14.44140625" customWidth="1"/>
  </cols>
  <sheetData>
    <row r="1" spans="1:5" x14ac:dyDescent="0.3">
      <c r="A1" s="1" t="s">
        <v>0</v>
      </c>
      <c r="B1" s="1" t="s">
        <v>24</v>
      </c>
      <c r="C1" s="1" t="s">
        <v>25</v>
      </c>
      <c r="D1" s="1" t="s">
        <v>26</v>
      </c>
      <c r="E1" s="1" t="s">
        <v>27</v>
      </c>
    </row>
    <row r="2" spans="1:5" x14ac:dyDescent="0.3">
      <c r="A2" s="2" t="s">
        <v>17</v>
      </c>
      <c r="B2" s="2">
        <v>226232</v>
      </c>
      <c r="C2" s="2">
        <v>95.26</v>
      </c>
      <c r="D2" s="2">
        <f>B2-MEDIAN($B$2:$B$18)</f>
        <v>-17439</v>
      </c>
      <c r="E2" s="9">
        <f>C2-95</f>
        <v>0.26000000000000512</v>
      </c>
    </row>
    <row r="3" spans="1:5" x14ac:dyDescent="0.3">
      <c r="A3" s="2" t="s">
        <v>2</v>
      </c>
      <c r="B3" s="2">
        <v>53436</v>
      </c>
      <c r="C3" s="2">
        <v>92.04</v>
      </c>
      <c r="D3" s="2">
        <f>B3-MEDIAN($B$2:$B$18)</f>
        <v>-190235</v>
      </c>
      <c r="E3" s="9">
        <f t="shared" ref="E3:E18" si="0">C3-95</f>
        <v>-2.9599999999999937</v>
      </c>
    </row>
    <row r="4" spans="1:5" x14ac:dyDescent="0.3">
      <c r="A4" s="2" t="s">
        <v>3</v>
      </c>
      <c r="B4" s="2">
        <v>203012</v>
      </c>
      <c r="C4" s="2">
        <v>93.23</v>
      </c>
      <c r="D4" s="2">
        <f t="shared" ref="D4:D18" si="1">B4-MEDIAN($B$2:$B$18)</f>
        <v>-40659</v>
      </c>
      <c r="E4" s="9">
        <f t="shared" si="0"/>
        <v>-1.769999999999996</v>
      </c>
    </row>
    <row r="5" spans="1:5" x14ac:dyDescent="0.3">
      <c r="A5" s="2" t="s">
        <v>4</v>
      </c>
      <c r="B5" s="2">
        <v>121694</v>
      </c>
      <c r="C5" s="2">
        <v>94.14</v>
      </c>
      <c r="D5" s="2">
        <f t="shared" si="1"/>
        <v>-121977</v>
      </c>
      <c r="E5" s="9">
        <f t="shared" si="0"/>
        <v>-0.85999999999999943</v>
      </c>
    </row>
    <row r="6" spans="1:5" x14ac:dyDescent="0.3">
      <c r="A6" s="2" t="s">
        <v>5</v>
      </c>
      <c r="B6" s="2">
        <v>280468</v>
      </c>
      <c r="C6" s="2">
        <v>94.28</v>
      </c>
      <c r="D6" s="2">
        <f t="shared" si="1"/>
        <v>36797</v>
      </c>
      <c r="E6" s="9">
        <f t="shared" si="0"/>
        <v>-0.71999999999999886</v>
      </c>
    </row>
    <row r="7" spans="1:5" x14ac:dyDescent="0.3">
      <c r="A7" s="2" t="s">
        <v>6</v>
      </c>
      <c r="B7" s="2">
        <v>315545</v>
      </c>
      <c r="C7" s="2">
        <v>91.05</v>
      </c>
      <c r="D7" s="2">
        <f t="shared" si="1"/>
        <v>71874</v>
      </c>
      <c r="E7" s="9">
        <f t="shared" si="0"/>
        <v>-3.9500000000000028</v>
      </c>
    </row>
    <row r="8" spans="1:5" x14ac:dyDescent="0.3">
      <c r="A8" s="2" t="s">
        <v>7</v>
      </c>
      <c r="B8" s="2">
        <v>204982</v>
      </c>
      <c r="C8" s="2">
        <v>95.13</v>
      </c>
      <c r="D8" s="2">
        <f t="shared" si="1"/>
        <v>-38689</v>
      </c>
      <c r="E8" s="9">
        <f t="shared" si="0"/>
        <v>0.12999999999999545</v>
      </c>
    </row>
    <row r="9" spans="1:5" x14ac:dyDescent="0.3">
      <c r="A9" s="2" t="s">
        <v>12</v>
      </c>
      <c r="B9" s="2">
        <v>280072</v>
      </c>
      <c r="C9" s="2">
        <v>96.93</v>
      </c>
      <c r="D9" s="2">
        <f t="shared" si="1"/>
        <v>36401</v>
      </c>
      <c r="E9" s="9">
        <f t="shared" si="0"/>
        <v>1.9300000000000068</v>
      </c>
    </row>
    <row r="10" spans="1:5" x14ac:dyDescent="0.3">
      <c r="A10" s="2" t="s">
        <v>1</v>
      </c>
      <c r="B10" s="2">
        <v>173328</v>
      </c>
      <c r="C10" s="2">
        <v>88.52</v>
      </c>
      <c r="D10" s="2">
        <f t="shared" si="1"/>
        <v>-70343</v>
      </c>
      <c r="E10" s="9">
        <f t="shared" si="0"/>
        <v>-6.480000000000004</v>
      </c>
    </row>
    <row r="11" spans="1:5" x14ac:dyDescent="0.3">
      <c r="A11" s="2" t="s">
        <v>8</v>
      </c>
      <c r="B11" s="2">
        <v>377030</v>
      </c>
      <c r="C11" s="2">
        <v>94.6</v>
      </c>
      <c r="D11" s="2">
        <f t="shared" si="1"/>
        <v>133359</v>
      </c>
      <c r="E11" s="9">
        <f t="shared" si="0"/>
        <v>-0.40000000000000568</v>
      </c>
    </row>
    <row r="12" spans="1:5" x14ac:dyDescent="0.3">
      <c r="A12" s="2" t="s">
        <v>9</v>
      </c>
      <c r="B12" s="2">
        <v>333505</v>
      </c>
      <c r="C12" s="2">
        <v>96.72</v>
      </c>
      <c r="D12" s="2">
        <f t="shared" si="1"/>
        <v>89834</v>
      </c>
      <c r="E12" s="9">
        <f t="shared" si="0"/>
        <v>1.7199999999999989</v>
      </c>
    </row>
    <row r="13" spans="1:5" x14ac:dyDescent="0.3">
      <c r="A13" s="2" t="s">
        <v>10</v>
      </c>
      <c r="B13" s="2">
        <v>290060</v>
      </c>
      <c r="C13" s="2">
        <v>95.45</v>
      </c>
      <c r="D13" s="2">
        <f t="shared" si="1"/>
        <v>46389</v>
      </c>
      <c r="E13" s="9">
        <f t="shared" si="0"/>
        <v>0.45000000000000284</v>
      </c>
    </row>
    <row r="14" spans="1:5" x14ac:dyDescent="0.3">
      <c r="A14" s="2" t="s">
        <v>11</v>
      </c>
      <c r="B14" s="2">
        <v>267218</v>
      </c>
      <c r="C14" s="2">
        <v>95.8</v>
      </c>
      <c r="D14" s="2">
        <f t="shared" si="1"/>
        <v>23547</v>
      </c>
      <c r="E14" s="9">
        <f t="shared" si="0"/>
        <v>0.79999999999999716</v>
      </c>
    </row>
    <row r="15" spans="1:5" x14ac:dyDescent="0.3">
      <c r="A15" s="2" t="s">
        <v>13</v>
      </c>
      <c r="B15" s="2">
        <v>243671</v>
      </c>
      <c r="C15" s="2">
        <v>97.7</v>
      </c>
      <c r="D15" s="2">
        <f t="shared" si="1"/>
        <v>0</v>
      </c>
      <c r="E15" s="9">
        <f t="shared" si="0"/>
        <v>2.7000000000000028</v>
      </c>
    </row>
    <row r="16" spans="1:5" x14ac:dyDescent="0.3">
      <c r="A16" s="2" t="s">
        <v>14</v>
      </c>
      <c r="B16" s="2">
        <v>263631</v>
      </c>
      <c r="C16" s="2">
        <v>95.24</v>
      </c>
      <c r="D16" s="2">
        <f t="shared" si="1"/>
        <v>19960</v>
      </c>
      <c r="E16" s="9">
        <f t="shared" si="0"/>
        <v>0.23999999999999488</v>
      </c>
    </row>
    <row r="17" spans="1:14" x14ac:dyDescent="0.3">
      <c r="A17" s="2" t="s">
        <v>15</v>
      </c>
      <c r="B17" s="2">
        <v>210395</v>
      </c>
      <c r="C17" s="2">
        <v>96.88</v>
      </c>
      <c r="D17" s="2">
        <f t="shared" si="1"/>
        <v>-33276</v>
      </c>
      <c r="E17" s="9">
        <f t="shared" si="0"/>
        <v>1.8799999999999955</v>
      </c>
    </row>
    <row r="18" spans="1:14" x14ac:dyDescent="0.3">
      <c r="A18" s="2" t="s">
        <v>16</v>
      </c>
      <c r="B18" s="2">
        <v>183790</v>
      </c>
      <c r="C18" s="2">
        <v>96.86</v>
      </c>
      <c r="D18" s="2">
        <f t="shared" si="1"/>
        <v>-59881</v>
      </c>
      <c r="E18" s="9">
        <f t="shared" si="0"/>
        <v>1.8599999999999994</v>
      </c>
    </row>
    <row r="20" spans="1:14" x14ac:dyDescent="0.3">
      <c r="A20" s="8" t="s">
        <v>29</v>
      </c>
    </row>
    <row r="21" spans="1:14" x14ac:dyDescent="0.3">
      <c r="F21" s="4" t="s">
        <v>28</v>
      </c>
      <c r="G21" s="4"/>
      <c r="H21" s="4"/>
      <c r="I21" s="4"/>
      <c r="J21" s="4"/>
      <c r="K21" s="4"/>
      <c r="L21" s="4"/>
      <c r="M21" s="4"/>
      <c r="N21" s="4"/>
    </row>
    <row r="22" spans="1:14" x14ac:dyDescent="0.3">
      <c r="F22" t="s">
        <v>41</v>
      </c>
    </row>
    <row r="23" spans="1:14" x14ac:dyDescent="0.3">
      <c r="F23" t="s">
        <v>42</v>
      </c>
    </row>
    <row r="25" spans="1:14" x14ac:dyDescent="0.3">
      <c r="F25" s="4" t="s">
        <v>35</v>
      </c>
    </row>
    <row r="27" spans="1:14" x14ac:dyDescent="0.3">
      <c r="F27" s="4" t="s">
        <v>36</v>
      </c>
    </row>
    <row r="28" spans="1:14" x14ac:dyDescent="0.3">
      <c r="F28" t="s">
        <v>30</v>
      </c>
    </row>
    <row r="29" spans="1:14" x14ac:dyDescent="0.3">
      <c r="F29" t="s">
        <v>33</v>
      </c>
    </row>
    <row r="30" spans="1:14" x14ac:dyDescent="0.3">
      <c r="F30" t="s">
        <v>31</v>
      </c>
    </row>
    <row r="31" spans="1:14" x14ac:dyDescent="0.3">
      <c r="F31" t="s">
        <v>32</v>
      </c>
    </row>
    <row r="33" spans="6:6" x14ac:dyDescent="0.3">
      <c r="F33" t="s">
        <v>37</v>
      </c>
    </row>
    <row r="34" spans="6:6" x14ac:dyDescent="0.3">
      <c r="F34" t="s">
        <v>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FDS Raw Data</vt:lpstr>
      <vt:lpstr>4Ps Members Raw Data</vt:lpstr>
      <vt:lpstr>Analysis</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CHARISSE CABABAO</dc:creator>
  <cp:lastModifiedBy>CHARISSE CABABAO</cp:lastModifiedBy>
  <dcterms:created xsi:type="dcterms:W3CDTF">2025-11-17T13:27:39Z</dcterms:created>
  <dcterms:modified xsi:type="dcterms:W3CDTF">2025-11-17T14:28:45Z</dcterms:modified>
</cp:coreProperties>
</file>