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00080496fcea5a/FINAL DATASET/"/>
    </mc:Choice>
  </mc:AlternateContent>
  <xr:revisionPtr revIDLastSave="0" documentId="8_{D5DCD1E0-0104-4700-B78A-3963979A97EC}" xr6:coauthVersionLast="47" xr6:coauthVersionMax="47" xr10:uidLastSave="{00000000-0000-0000-0000-000000000000}"/>
  <bookViews>
    <workbookView xWindow="-108" yWindow="-108" windowWidth="23256" windowHeight="12456" xr2:uid="{694ADB42-F727-3B42-BF5B-522D74AEA30A}"/>
  </bookViews>
  <sheets>
    <sheet name="FDS vs 4Ps Beneficiaries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10" i="1"/>
  <c r="D18" i="1"/>
  <c r="D4" i="1"/>
  <c r="D8" i="1"/>
  <c r="D17" i="1"/>
  <c r="D2" i="1"/>
  <c r="D15" i="1"/>
  <c r="D16" i="1"/>
  <c r="D14" i="1"/>
  <c r="D9" i="1"/>
  <c r="D6" i="1"/>
  <c r="D13" i="1"/>
  <c r="D7" i="1"/>
  <c r="D12" i="1"/>
  <c r="D11" i="1"/>
  <c r="D3" i="1"/>
  <c r="E5" i="1"/>
  <c r="E10" i="1"/>
  <c r="E18" i="1"/>
  <c r="E4" i="1"/>
  <c r="E8" i="1"/>
  <c r="E17" i="1"/>
  <c r="E2" i="1"/>
  <c r="E15" i="1"/>
  <c r="E16" i="1"/>
  <c r="E14" i="1"/>
  <c r="E9" i="1"/>
  <c r="E6" i="1"/>
  <c r="E13" i="1"/>
  <c r="E7" i="1"/>
  <c r="E12" i="1"/>
  <c r="E11" i="1"/>
</calcChain>
</file>

<file path=xl/sharedStrings.xml><?xml version="1.0" encoding="utf-8"?>
<sst xmlns="http://schemas.openxmlformats.org/spreadsheetml/2006/main" count="22" uniqueCount="22">
  <si>
    <t>Region</t>
  </si>
  <si>
    <t>Adjusted X</t>
  </si>
  <si>
    <t>Adjusted Y</t>
  </si>
  <si>
    <t>CAR</t>
  </si>
  <si>
    <t>NCR</t>
  </si>
  <si>
    <t>IV-A</t>
  </si>
  <si>
    <t>III</t>
  </si>
  <si>
    <t>II</t>
  </si>
  <si>
    <t>VII</t>
  </si>
  <si>
    <t>I</t>
  </si>
  <si>
    <t>VI</t>
  </si>
  <si>
    <t>XI</t>
  </si>
  <si>
    <t>XII</t>
  </si>
  <si>
    <t>X</t>
  </si>
  <si>
    <t>IV-B</t>
  </si>
  <si>
    <t>VIII</t>
  </si>
  <si>
    <t>XIII</t>
  </si>
  <si>
    <t>V</t>
  </si>
  <si>
    <t>IX</t>
  </si>
  <si>
    <t>BARMM</t>
  </si>
  <si>
    <t>4Ps Member Count</t>
  </si>
  <si>
    <t>FDS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</si>
</sst>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989185686438025E-2"/>
          <c:y val="2.6209836287021161E-2"/>
          <c:w val="0.92201265210948169"/>
          <c:h val="0.960476805139154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'FDS vs 4Ps Beneficiaries Matrix'!$E$1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3902378944331043E-2"/>
                  <c:y val="-1.667278981549557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41B1CA-2C57-49A5-9B1C-3AD1FB3C0277}" type="CELLRANGE">
                      <a:rPr lang="en-US"/>
                      <a:pPr>
                        <a:defRPr sz="1100" b="1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57127390410321E-2"/>
                      <c:h val="4.473299565771045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858-C844-A754-ED3471156AE0}"/>
                </c:ext>
              </c:extLst>
            </c:dLbl>
            <c:dLbl>
              <c:idx val="1"/>
              <c:layout>
                <c:manualLayout>
                  <c:x val="-5.8306055980813169E-2"/>
                  <c:y val="-7.5895449383312835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6932026-13FA-4FB4-9034-9616BC35C9F4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037853625034544E-2"/>
                      <c:h val="5.04883812083543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858-C844-A754-ED3471156AE0}"/>
                </c:ext>
              </c:extLst>
            </c:dLbl>
            <c:dLbl>
              <c:idx val="2"/>
              <c:layout>
                <c:manualLayout>
                  <c:x val="-3.1008794911167873E-2"/>
                  <c:y val="-2.8538811942563258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2C0AA24-97B7-4F24-AC67-32CB54AF6F21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738140013295921E-2"/>
                      <c:h val="4.865507877004468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858-C844-A754-ED3471156AE0}"/>
                </c:ext>
              </c:extLst>
            </c:dLbl>
            <c:dLbl>
              <c:idx val="3"/>
              <c:layout>
                <c:manualLayout>
                  <c:x val="-2.721418210839183E-2"/>
                  <c:y val="2.2546988446534895E-4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2F4A66-5C63-44DF-BA4C-A0EADE904D49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250606330425259E-2"/>
                      <c:h val="5.230065139892117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858-C844-A754-ED3471156AE0}"/>
                </c:ext>
              </c:extLst>
            </c:dLbl>
            <c:dLbl>
              <c:idx val="4"/>
              <c:layout>
                <c:manualLayout>
                  <c:x val="-3.2818194507818574E-2"/>
                  <c:y val="-1.6076808301588373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F1F26E3-07DE-4166-B455-EC8449753F6B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298609653017342E-2"/>
                      <c:h val="5.231048556048142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858-C844-A754-ED3471156AE0}"/>
                </c:ext>
              </c:extLst>
            </c:dLbl>
            <c:dLbl>
              <c:idx val="5"/>
              <c:layout>
                <c:manualLayout>
                  <c:x val="-4.3785607627260796E-2"/>
                  <c:y val="-1.6205088642461359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2F8FCB9-9DE4-4437-85BC-39E9AD9B450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38998218225697E-2"/>
                      <c:h val="5.420485803617416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858-C844-A754-ED3471156AE0}"/>
                </c:ext>
              </c:extLst>
            </c:dLbl>
            <c:dLbl>
              <c:idx val="6"/>
              <c:layout>
                <c:manualLayout>
                  <c:x val="-5.4005238580633205E-2"/>
                  <c:y val="-1.681643396463675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AF44F2-2BA4-4916-92F4-E2AB4EC26AF3}" type="CELLRANGE">
                      <a:rPr lang="en-US"/>
                      <a:pPr>
                        <a:defRPr sz="1200" b="1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02966143942496E-2"/>
                      <c:h val="4.662736813340319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858-C844-A754-ED3471156AE0}"/>
                </c:ext>
              </c:extLst>
            </c:dLbl>
            <c:dLbl>
              <c:idx val="7"/>
              <c:layout>
                <c:manualLayout>
                  <c:x val="-3.2964692558851927E-2"/>
                  <c:y val="-5.90693720014915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1579C5A-05A1-42B7-AD6B-BFE379AD178C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518723878942568E-2"/>
                      <c:h val="5.231048556048142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858-C844-A754-ED3471156AE0}"/>
                </c:ext>
              </c:extLst>
            </c:dLbl>
            <c:dLbl>
              <c:idx val="8"/>
              <c:layout>
                <c:manualLayout>
                  <c:x val="-4.8573499848145067E-2"/>
                  <c:y val="-2.5321313250088657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D122BAD-056B-4ED1-83FB-D464864C5B8C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073690446988128E-2"/>
                      <c:h val="4.86552065251880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858-C844-A754-ED3471156AE0}"/>
                </c:ext>
              </c:extLst>
            </c:dLbl>
            <c:dLbl>
              <c:idx val="9"/>
              <c:layout>
                <c:manualLayout>
                  <c:x val="-3.1098764722511236E-2"/>
                  <c:y val="-1.1082824798737841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FE76871-DDDB-49DC-9841-F8E627AFF9AB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761103832046E-2"/>
                      <c:h val="5.231048556048142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858-C844-A754-ED3471156AE0}"/>
                </c:ext>
              </c:extLst>
            </c:dLbl>
            <c:dLbl>
              <c:idx val="10"/>
              <c:layout>
                <c:manualLayout>
                  <c:x val="-3.6843862238773367E-2"/>
                  <c:y val="-5.3963943416286218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83E837-111E-49D5-B3ED-4F4A4959B94F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94235919115189E-2"/>
                      <c:h val="4.852174060909594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858-C844-A754-ED3471156AE0}"/>
                </c:ext>
              </c:extLst>
            </c:dLbl>
            <c:dLbl>
              <c:idx val="11"/>
              <c:layout>
                <c:manualLayout>
                  <c:x val="-2.4896954979469452E-2"/>
                  <c:y val="-4.590728742005890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39D2D24-1A19-4AA5-94D3-DF1D185D8FE9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454739634443546E-2"/>
                      <c:h val="5.22751180543890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858-C844-A754-ED3471156AE0}"/>
                </c:ext>
              </c:extLst>
            </c:dLbl>
            <c:dLbl>
              <c:idx val="12"/>
              <c:layout>
                <c:manualLayout>
                  <c:x val="-3.6186088084633798E-2"/>
                  <c:y val="-1.012370550592651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16D28D-B2CE-4E35-9098-C2FB1D7DACC2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057504741818677E-2"/>
                      <c:h val="4.84508880952412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858-C844-A754-ED3471156AE0}"/>
                </c:ext>
              </c:extLst>
            </c:dLbl>
            <c:dLbl>
              <c:idx val="13"/>
              <c:layout>
                <c:manualLayout>
                  <c:x val="-2.7984471936761731E-2"/>
                  <c:y val="3.5664918026624736E-4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4FAEE76-4EE7-4CDE-83B7-6DC9233E2C9D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786463911145E-2"/>
                      <c:h val="5.041611308478868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858-C844-A754-ED3471156AE0}"/>
                </c:ext>
              </c:extLst>
            </c:dLbl>
            <c:dLbl>
              <c:idx val="14"/>
              <c:layout>
                <c:manualLayout>
                  <c:x val="-3.5654136379045208E-2"/>
                  <c:y val="-6.385750619735751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8E9EFAE-FD88-4FE7-B5D8-7210B52680AF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793519455825725E-2"/>
                      <c:h val="4.648551394250682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858-C844-A754-ED3471156AE0}"/>
                </c:ext>
              </c:extLst>
            </c:dLbl>
            <c:dLbl>
              <c:idx val="15"/>
              <c:layout>
                <c:manualLayout>
                  <c:x val="-3.2867753404315019E-2"/>
                  <c:y val="-1.008059734486547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DB8B92-843E-464B-B5F0-2495D5FE3C1D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6604951666879751E-2"/>
                      <c:h val="4.852174060909594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858-C844-A754-ED3471156AE0}"/>
                </c:ext>
              </c:extLst>
            </c:dLbl>
            <c:dLbl>
              <c:idx val="16"/>
              <c:layout>
                <c:manualLayout>
                  <c:x val="-4.2065767294881887E-2"/>
                  <c:y val="-1.58855810957736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10242B-BE44-4A5F-9EE3-DE569BBC6FA9}" type="CELLRANGE">
                      <a:rPr lang="en-US"/>
                      <a:pPr>
                        <a:defRPr sz="2000">
                          <a:ln>
                            <a:noFill/>
                          </a:ln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PH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H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232206596670334E-2"/>
                      <c:h val="5.041611308478868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858-C844-A754-ED3471156AE0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'FDS vs 4Ps Beneficiaries Matrix'!$D$2:$D$18</c:f>
              <c:numCache>
                <c:formatCode>0</c:formatCode>
                <c:ptCount val="17"/>
                <c:pt idx="0">
                  <c:v>-17439</c:v>
                </c:pt>
                <c:pt idx="1">
                  <c:v>-190235</c:v>
                </c:pt>
                <c:pt idx="2">
                  <c:v>-40659</c:v>
                </c:pt>
                <c:pt idx="3">
                  <c:v>-121977</c:v>
                </c:pt>
                <c:pt idx="4">
                  <c:v>36797</c:v>
                </c:pt>
                <c:pt idx="5">
                  <c:v>71874</c:v>
                </c:pt>
                <c:pt idx="6">
                  <c:v>-38689</c:v>
                </c:pt>
                <c:pt idx="7">
                  <c:v>36401</c:v>
                </c:pt>
                <c:pt idx="8">
                  <c:v>-70343</c:v>
                </c:pt>
                <c:pt idx="9">
                  <c:v>133359</c:v>
                </c:pt>
                <c:pt idx="10">
                  <c:v>89834</c:v>
                </c:pt>
                <c:pt idx="11">
                  <c:v>46389</c:v>
                </c:pt>
                <c:pt idx="12">
                  <c:v>23547</c:v>
                </c:pt>
                <c:pt idx="13">
                  <c:v>0</c:v>
                </c:pt>
                <c:pt idx="14">
                  <c:v>19960</c:v>
                </c:pt>
                <c:pt idx="15">
                  <c:v>-33276</c:v>
                </c:pt>
                <c:pt idx="16">
                  <c:v>-59881</c:v>
                </c:pt>
              </c:numCache>
            </c:numRef>
          </c:xVal>
          <c:yVal>
            <c:numRef>
              <c:f>'FDS vs 4Ps Beneficiaries Matrix'!$E$2:$E$18</c:f>
              <c:numCache>
                <c:formatCode>0</c:formatCode>
                <c:ptCount val="17"/>
                <c:pt idx="0">
                  <c:v>0.26000000000000512</c:v>
                </c:pt>
                <c:pt idx="1">
                  <c:v>-3</c:v>
                </c:pt>
                <c:pt idx="2">
                  <c:v>-1.769999999999996</c:v>
                </c:pt>
                <c:pt idx="3">
                  <c:v>-0.85999999999999943</c:v>
                </c:pt>
                <c:pt idx="4">
                  <c:v>-0.71999999999999886</c:v>
                </c:pt>
                <c:pt idx="5">
                  <c:v>-3.9500000000000028</c:v>
                </c:pt>
                <c:pt idx="6">
                  <c:v>0.12999999999999545</c:v>
                </c:pt>
                <c:pt idx="7">
                  <c:v>1.9300000000000068</c:v>
                </c:pt>
                <c:pt idx="8">
                  <c:v>-6.480000000000004</c:v>
                </c:pt>
                <c:pt idx="9">
                  <c:v>-0.40000000000000568</c:v>
                </c:pt>
                <c:pt idx="10">
                  <c:v>1.7199999999999989</c:v>
                </c:pt>
                <c:pt idx="11">
                  <c:v>0.45000000000000284</c:v>
                </c:pt>
                <c:pt idx="12">
                  <c:v>0.79999999999999716</c:v>
                </c:pt>
                <c:pt idx="13">
                  <c:v>2.7000000000000028</c:v>
                </c:pt>
                <c:pt idx="14">
                  <c:v>0.23999999999999488</c:v>
                </c:pt>
                <c:pt idx="15">
                  <c:v>1.8799999999999955</c:v>
                </c:pt>
                <c:pt idx="16">
                  <c:v>1.8599999999999994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'FDS vs 4Ps Beneficiaries Matrix'!$A$2:$A$18</c15:f>
                <c15:dlblRangeCache>
                  <c:ptCount val="17"/>
                  <c:pt idx="0">
                    <c:v>BARMM</c:v>
                  </c:pt>
                  <c:pt idx="1">
                    <c:v>CAR</c:v>
                  </c:pt>
                  <c:pt idx="2">
                    <c:v>I</c:v>
                  </c:pt>
                  <c:pt idx="3">
                    <c:v>II</c:v>
                  </c:pt>
                  <c:pt idx="4">
                    <c:v>III</c:v>
                  </c:pt>
                  <c:pt idx="5">
                    <c:v>IV-A</c:v>
                  </c:pt>
                  <c:pt idx="6">
                    <c:v>IV-B</c:v>
                  </c:pt>
                  <c:pt idx="7">
                    <c:v>IX</c:v>
                  </c:pt>
                  <c:pt idx="8">
                    <c:v>NCR</c:v>
                  </c:pt>
                  <c:pt idx="9">
                    <c:v>V</c:v>
                  </c:pt>
                  <c:pt idx="10">
                    <c:v>VI</c:v>
                  </c:pt>
                  <c:pt idx="11">
                    <c:v>VII</c:v>
                  </c:pt>
                  <c:pt idx="12">
                    <c:v>VIII</c:v>
                  </c:pt>
                  <c:pt idx="13">
                    <c:v>X</c:v>
                  </c:pt>
                  <c:pt idx="14">
                    <c:v>XI</c:v>
                  </c:pt>
                  <c:pt idx="15">
                    <c:v>XII</c:v>
                  </c:pt>
                  <c:pt idx="16">
                    <c:v>XIII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6858-C844-A754-ED3471156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  <c:min val="-2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  <c:max val="4"/>
          <c:min val="-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6351</xdr:colOff>
      <xdr:row>0</xdr:row>
      <xdr:rowOff>196851</xdr:rowOff>
    </xdr:from>
    <xdr:to>
      <xdr:col>16</xdr:col>
      <xdr:colOff>569089</xdr:colOff>
      <xdr:row>38</xdr:row>
      <xdr:rowOff>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64AEE-8023-2A40-94B4-6D29F2F5D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9180-116E-B349-9485-2CCE62FEE4B2}">
  <sheetPr>
    <pageSetUpPr fitToPage="1"/>
  </sheetPr>
  <dimension ref="A1:E20"/>
  <sheetViews>
    <sheetView tabSelected="1" zoomScale="74" zoomScaleNormal="79" workbookViewId="0">
      <selection activeCell="E28" sqref="E28"/>
    </sheetView>
  </sheetViews>
  <sheetFormatPr defaultColWidth="11.5546875" defaultRowHeight="13.2" x14ac:dyDescent="0.25"/>
  <cols>
    <col min="2" max="2" width="26.44140625" customWidth="1"/>
    <col min="3" max="3" width="22" customWidth="1"/>
    <col min="4" max="4" width="15" customWidth="1"/>
    <col min="5" max="5" width="14" customWidth="1"/>
  </cols>
  <sheetData>
    <row r="1" spans="1:5" ht="15.6" x14ac:dyDescent="0.3">
      <c r="A1" s="3" t="s">
        <v>0</v>
      </c>
      <c r="B1" s="3" t="s">
        <v>20</v>
      </c>
      <c r="C1" s="3" t="s">
        <v>21</v>
      </c>
      <c r="D1" s="4" t="s">
        <v>1</v>
      </c>
      <c r="E1" s="4" t="s">
        <v>2</v>
      </c>
    </row>
    <row r="2" spans="1:5" ht="15" x14ac:dyDescent="0.25">
      <c r="A2" s="5" t="s">
        <v>19</v>
      </c>
      <c r="B2" s="6">
        <v>226232</v>
      </c>
      <c r="C2" s="2">
        <v>95.26</v>
      </c>
      <c r="D2" s="7">
        <f>B2-(MEDIAN($B$2:$B$18))</f>
        <v>-17439</v>
      </c>
      <c r="E2" s="7">
        <f>C2-95</f>
        <v>0.26000000000000512</v>
      </c>
    </row>
    <row r="3" spans="1:5" ht="15" x14ac:dyDescent="0.25">
      <c r="A3" s="5" t="s">
        <v>3</v>
      </c>
      <c r="B3" s="6">
        <v>53436</v>
      </c>
      <c r="C3" s="2">
        <v>92.04</v>
      </c>
      <c r="D3" s="7">
        <f>B3-(MEDIAN($B$2:$B$18))</f>
        <v>-190235</v>
      </c>
      <c r="E3" s="7">
        <v>-3</v>
      </c>
    </row>
    <row r="4" spans="1:5" ht="15" x14ac:dyDescent="0.25">
      <c r="A4" s="5" t="s">
        <v>9</v>
      </c>
      <c r="B4" s="6">
        <v>203012</v>
      </c>
      <c r="C4" s="2">
        <v>93.23</v>
      </c>
      <c r="D4" s="7">
        <f>B4-(MEDIAN($B$2:$B$18))</f>
        <v>-40659</v>
      </c>
      <c r="E4" s="7">
        <f>C4-95</f>
        <v>-1.769999999999996</v>
      </c>
    </row>
    <row r="5" spans="1:5" ht="15" x14ac:dyDescent="0.25">
      <c r="A5" s="5" t="s">
        <v>7</v>
      </c>
      <c r="B5" s="6">
        <v>121694</v>
      </c>
      <c r="C5" s="2">
        <v>94.14</v>
      </c>
      <c r="D5" s="7">
        <f>B5-(MEDIAN($B$2:$B$18))</f>
        <v>-121977</v>
      </c>
      <c r="E5" s="7">
        <f>C5-95</f>
        <v>-0.85999999999999943</v>
      </c>
    </row>
    <row r="6" spans="1:5" ht="15" x14ac:dyDescent="0.25">
      <c r="A6" s="5" t="s">
        <v>6</v>
      </c>
      <c r="B6" s="6">
        <v>280468</v>
      </c>
      <c r="C6" s="2">
        <v>94.28</v>
      </c>
      <c r="D6" s="7">
        <f>B6-(MEDIAN($B$2:$B$18))</f>
        <v>36797</v>
      </c>
      <c r="E6" s="7">
        <f>C6-95</f>
        <v>-0.71999999999999886</v>
      </c>
    </row>
    <row r="7" spans="1:5" ht="15" x14ac:dyDescent="0.25">
      <c r="A7" s="5" t="s">
        <v>5</v>
      </c>
      <c r="B7" s="6">
        <v>315545</v>
      </c>
      <c r="C7" s="2">
        <v>91.05</v>
      </c>
      <c r="D7" s="7">
        <f>B7-(MEDIAN($B$2:$B$18))</f>
        <v>71874</v>
      </c>
      <c r="E7" s="7">
        <f>C7-95</f>
        <v>-3.9500000000000028</v>
      </c>
    </row>
    <row r="8" spans="1:5" ht="15" x14ac:dyDescent="0.25">
      <c r="A8" s="5" t="s">
        <v>14</v>
      </c>
      <c r="B8" s="6">
        <v>204982</v>
      </c>
      <c r="C8" s="2">
        <v>95.13</v>
      </c>
      <c r="D8" s="7">
        <f>B8-(MEDIAN($B$2:$B$18))</f>
        <v>-38689</v>
      </c>
      <c r="E8" s="7">
        <f>C8-95</f>
        <v>0.12999999999999545</v>
      </c>
    </row>
    <row r="9" spans="1:5" ht="15" x14ac:dyDescent="0.25">
      <c r="A9" s="5" t="s">
        <v>18</v>
      </c>
      <c r="B9" s="6">
        <v>280072</v>
      </c>
      <c r="C9" s="2">
        <v>96.93</v>
      </c>
      <c r="D9" s="7">
        <f>B9-(MEDIAN($B$2:$B$18))</f>
        <v>36401</v>
      </c>
      <c r="E9" s="7">
        <f>C9-95</f>
        <v>1.9300000000000068</v>
      </c>
    </row>
    <row r="10" spans="1:5" ht="15" x14ac:dyDescent="0.25">
      <c r="A10" s="5" t="s">
        <v>4</v>
      </c>
      <c r="B10" s="6">
        <v>173328</v>
      </c>
      <c r="C10" s="2">
        <v>88.52</v>
      </c>
      <c r="D10" s="7">
        <f>B10-(MEDIAN($B$2:$B$18))</f>
        <v>-70343</v>
      </c>
      <c r="E10" s="7">
        <f>C10-95</f>
        <v>-6.480000000000004</v>
      </c>
    </row>
    <row r="11" spans="1:5" ht="15" x14ac:dyDescent="0.25">
      <c r="A11" s="5" t="s">
        <v>17</v>
      </c>
      <c r="B11" s="6">
        <v>377030</v>
      </c>
      <c r="C11" s="2">
        <v>94.6</v>
      </c>
      <c r="D11" s="7">
        <f>B11-(MEDIAN($B$2:$B$18))</f>
        <v>133359</v>
      </c>
      <c r="E11" s="7">
        <f>C11-95</f>
        <v>-0.40000000000000568</v>
      </c>
    </row>
    <row r="12" spans="1:5" ht="15" x14ac:dyDescent="0.25">
      <c r="A12" s="5" t="s">
        <v>10</v>
      </c>
      <c r="B12" s="6">
        <v>333505</v>
      </c>
      <c r="C12" s="2">
        <v>96.72</v>
      </c>
      <c r="D12" s="7">
        <f>B12-(MEDIAN($B$2:$B$18))</f>
        <v>89834</v>
      </c>
      <c r="E12" s="7">
        <f>C12-95</f>
        <v>1.7199999999999989</v>
      </c>
    </row>
    <row r="13" spans="1:5" ht="15" x14ac:dyDescent="0.25">
      <c r="A13" s="5" t="s">
        <v>8</v>
      </c>
      <c r="B13" s="6">
        <v>290060</v>
      </c>
      <c r="C13" s="2">
        <v>95.45</v>
      </c>
      <c r="D13" s="7">
        <f>B13-(MEDIAN($B$2:$B$18))</f>
        <v>46389</v>
      </c>
      <c r="E13" s="7">
        <f>C13-95</f>
        <v>0.45000000000000284</v>
      </c>
    </row>
    <row r="14" spans="1:5" ht="15" x14ac:dyDescent="0.25">
      <c r="A14" s="5" t="s">
        <v>15</v>
      </c>
      <c r="B14" s="6">
        <v>267218</v>
      </c>
      <c r="C14" s="2">
        <v>95.8</v>
      </c>
      <c r="D14" s="7">
        <f>B14-(MEDIAN($B$2:$B$18))</f>
        <v>23547</v>
      </c>
      <c r="E14" s="7">
        <f>C14-95</f>
        <v>0.79999999999999716</v>
      </c>
    </row>
    <row r="15" spans="1:5" ht="15" x14ac:dyDescent="0.25">
      <c r="A15" s="5" t="s">
        <v>13</v>
      </c>
      <c r="B15" s="6">
        <v>243671</v>
      </c>
      <c r="C15" s="2">
        <v>97.7</v>
      </c>
      <c r="D15" s="7">
        <f>B15-(MEDIAN($B$2:$B$18))</f>
        <v>0</v>
      </c>
      <c r="E15" s="7">
        <f>C15-95</f>
        <v>2.7000000000000028</v>
      </c>
    </row>
    <row r="16" spans="1:5" ht="15" x14ac:dyDescent="0.25">
      <c r="A16" s="5" t="s">
        <v>11</v>
      </c>
      <c r="B16" s="6">
        <v>263631</v>
      </c>
      <c r="C16" s="2">
        <v>95.24</v>
      </c>
      <c r="D16" s="7">
        <f>B16-(MEDIAN($B$2:$B$18))</f>
        <v>19960</v>
      </c>
      <c r="E16" s="7">
        <f>C16-95</f>
        <v>0.23999999999999488</v>
      </c>
    </row>
    <row r="17" spans="1:5" ht="15" x14ac:dyDescent="0.25">
      <c r="A17" s="5" t="s">
        <v>12</v>
      </c>
      <c r="B17" s="6">
        <v>210395</v>
      </c>
      <c r="C17" s="2">
        <v>96.88</v>
      </c>
      <c r="D17" s="7">
        <f>B17-(MEDIAN($B$2:$B$18))</f>
        <v>-33276</v>
      </c>
      <c r="E17" s="7">
        <f>C17-95</f>
        <v>1.8799999999999955</v>
      </c>
    </row>
    <row r="18" spans="1:5" ht="15" x14ac:dyDescent="0.25">
      <c r="A18" s="5" t="s">
        <v>16</v>
      </c>
      <c r="B18" s="6">
        <v>183790</v>
      </c>
      <c r="C18" s="2">
        <v>96.86</v>
      </c>
      <c r="D18" s="7">
        <f>B18-(MEDIAN($B$2:$B$18))</f>
        <v>-59881</v>
      </c>
      <c r="E18" s="7">
        <f>C18-95</f>
        <v>1.8599999999999994</v>
      </c>
    </row>
    <row r="20" spans="1:5" x14ac:dyDescent="0.25">
      <c r="C20" s="1"/>
    </row>
  </sheetData>
  <sortState xmlns:xlrd2="http://schemas.microsoft.com/office/spreadsheetml/2017/richdata2" ref="A2:E20">
    <sortCondition ref="A1:A20"/>
  </sortState>
  <pageMargins left="0.7" right="0.7" top="0.75" bottom="0.75" header="0.3" footer="0.3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FDS vs 4Ps Beneficiaries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Spencer Aynera</dc:creator>
  <cp:lastModifiedBy>CHARISSE CABABAO</cp:lastModifiedBy>
  <cp:lastPrinted>2025-11-13T15:18:07Z</cp:lastPrinted>
  <dcterms:created xsi:type="dcterms:W3CDTF">2025-11-13T13:59:11Z</dcterms:created>
  <dcterms:modified xsi:type="dcterms:W3CDTF">2025-11-17T13:21:56Z</dcterms:modified>
</cp:coreProperties>
</file>