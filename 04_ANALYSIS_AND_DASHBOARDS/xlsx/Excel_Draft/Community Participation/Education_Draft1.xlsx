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riancorsado/Downloads/"/>
    </mc:Choice>
  </mc:AlternateContent>
  <xr:revisionPtr revIDLastSave="0" documentId="13_ncr:1_{8F207662-C9B4-A24F-9EC0-D5E656D72084}" xr6:coauthVersionLast="47" xr6:coauthVersionMax="47" xr10:uidLastSave="{00000000-0000-0000-0000-000000000000}"/>
  <bookViews>
    <workbookView xWindow="0" yWindow="760" windowWidth="29400" windowHeight="16940" activeTab="10" xr2:uid="{00000000-000D-0000-FFFF-FFFF00000000}"/>
  </bookViews>
  <sheets>
    <sheet name="Enrollment Count" sheetId="3" r:id="rId1"/>
    <sheet name="4Ps Children Count" sheetId="1" r:id="rId2"/>
    <sheet name="Enrollment Numbers Final" sheetId="22" r:id="rId3"/>
    <sheet name="Public Schools Count 2020" sheetId="14" r:id="rId4"/>
    <sheet name="4Ps Share in Enrollment DepEd" sheetId="12" r:id="rId5"/>
    <sheet name="Public and Private Schools 2021" sheetId="15" r:id="rId6"/>
    <sheet name="Classroom Ratio" sheetId="17" r:id="rId7"/>
    <sheet name="Teacher Ratio" sheetId="18" r:id="rId8"/>
    <sheet name="Educ Perf Ranking" sheetId="19" r:id="rId9"/>
    <sheet name="ENROLLMENT RATE" sheetId="23" r:id="rId10"/>
    <sheet name="Matrix Chart" sheetId="21" r:id="rId11"/>
    <sheet name="Notes" sheetId="6" r:id="rId12"/>
  </sheets>
  <definedNames>
    <definedName name="_xlnm._FilterDatabase" localSheetId="1" hidden="1">'4Ps Children Count'!$A$1:$F$265</definedName>
    <definedName name="_xlnm._FilterDatabase" localSheetId="4" hidden="1">'4Ps Share in Enrollment DepEd'!$B$2:$E$20</definedName>
    <definedName name="_xlnm._FilterDatabase" localSheetId="6" hidden="1">'Classroom Ratio'!$A$1:$E$18</definedName>
    <definedName name="_xlnm._FilterDatabase" localSheetId="2" hidden="1">'Enrollment Numbers Final'!$B$2:$D$20</definedName>
    <definedName name="_xlnm._FilterDatabase" localSheetId="9" hidden="1">'ENROLLMENT RATE'!$A$1:$F$18</definedName>
    <definedName name="_xlnm._FilterDatabase" localSheetId="3" hidden="1">'Public Schools Count 2020'!$A$1:$B$18</definedName>
    <definedName name="_xlnm._FilterDatabase" localSheetId="7" hidden="1">'Teacher Ratio'!$A$1:$G$18</definedName>
  </definedNames>
  <calcPr calcId="191029"/>
  <pivotCaches>
    <pivotCache cacheId="16" r:id="rId13"/>
    <pivotCache cacheId="25" r:id="rId14"/>
    <pivotCache cacheId="3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1" l="1"/>
  <c r="F18" i="23"/>
  <c r="C18" i="21" s="1"/>
  <c r="F17" i="23"/>
  <c r="C17" i="21" s="1"/>
  <c r="F16" i="23"/>
  <c r="C11" i="21" s="1"/>
  <c r="F15" i="23"/>
  <c r="C14" i="21" s="1"/>
  <c r="F14" i="23"/>
  <c r="C13" i="21" s="1"/>
  <c r="F13" i="23"/>
  <c r="C16" i="21" s="1"/>
  <c r="F12" i="23"/>
  <c r="C10" i="21" s="1"/>
  <c r="F11" i="23"/>
  <c r="C15" i="21" s="1"/>
  <c r="E15" i="21" s="1"/>
  <c r="F10" i="23"/>
  <c r="C12" i="21" s="1"/>
  <c r="F9" i="23"/>
  <c r="C2" i="21" s="1"/>
  <c r="E2" i="21" s="1"/>
  <c r="F8" i="23"/>
  <c r="C9" i="21" s="1"/>
  <c r="F7" i="23"/>
  <c r="C8" i="21" s="1"/>
  <c r="F6" i="23"/>
  <c r="C3" i="21" s="1"/>
  <c r="F5" i="23"/>
  <c r="C7" i="21" s="1"/>
  <c r="F4" i="23"/>
  <c r="C6" i="21" s="1"/>
  <c r="F3" i="23"/>
  <c r="C4" i="21" s="1"/>
  <c r="F2" i="23"/>
  <c r="C5" i="21" s="1"/>
  <c r="E13" i="21" l="1"/>
  <c r="E4" i="21"/>
  <c r="E11" i="21"/>
  <c r="E17" i="21"/>
  <c r="E8" i="21"/>
  <c r="E3" i="21"/>
  <c r="E12" i="21"/>
  <c r="E16" i="21"/>
  <c r="E6" i="21"/>
  <c r="E5" i="21"/>
  <c r="E9" i="21"/>
  <c r="E10" i="21"/>
  <c r="E18" i="21"/>
  <c r="E7" i="21"/>
  <c r="E14" i="21"/>
  <c r="F20" i="23"/>
  <c r="G13" i="23" s="1"/>
  <c r="D21" i="12"/>
  <c r="E3" i="12"/>
  <c r="D17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8" i="21"/>
  <c r="E32" i="19"/>
  <c r="D40" i="19"/>
  <c r="D29" i="19"/>
  <c r="C24" i="19"/>
  <c r="D24" i="19"/>
  <c r="C25" i="19"/>
  <c r="D25" i="19"/>
  <c r="C26" i="19"/>
  <c r="D26" i="19"/>
  <c r="C27" i="19"/>
  <c r="D27" i="19"/>
  <c r="C28" i="19"/>
  <c r="D28" i="19"/>
  <c r="C29" i="19"/>
  <c r="C30" i="19"/>
  <c r="D30" i="19"/>
  <c r="C31" i="19"/>
  <c r="D31" i="19"/>
  <c r="C32" i="19"/>
  <c r="D32" i="19"/>
  <c r="C33" i="19"/>
  <c r="D33" i="19"/>
  <c r="C34" i="19"/>
  <c r="D34" i="19"/>
  <c r="C35" i="19"/>
  <c r="D35" i="19"/>
  <c r="C36" i="19"/>
  <c r="D36" i="19"/>
  <c r="C37" i="19"/>
  <c r="D37" i="19"/>
  <c r="C38" i="19"/>
  <c r="D38" i="19"/>
  <c r="C39" i="19"/>
  <c r="D39" i="19"/>
  <c r="C40" i="19"/>
  <c r="B25" i="19"/>
  <c r="B26" i="19"/>
  <c r="E26" i="19" s="1"/>
  <c r="B27" i="19"/>
  <c r="B28" i="19"/>
  <c r="B29" i="19"/>
  <c r="B30" i="19"/>
  <c r="B31" i="19"/>
  <c r="E31" i="19" s="1"/>
  <c r="B32" i="19"/>
  <c r="B33" i="19"/>
  <c r="E33" i="19" s="1"/>
  <c r="B34" i="19"/>
  <c r="E34" i="19" s="1"/>
  <c r="B35" i="19"/>
  <c r="B36" i="19"/>
  <c r="E36" i="19" s="1"/>
  <c r="B37" i="19"/>
  <c r="B38" i="19"/>
  <c r="B39" i="19"/>
  <c r="B40" i="19"/>
  <c r="B24" i="19"/>
  <c r="A26" i="17"/>
  <c r="E7" i="17"/>
  <c r="E3" i="17"/>
  <c r="E4" i="17"/>
  <c r="E6" i="17"/>
  <c r="E5" i="17"/>
  <c r="E8" i="17"/>
  <c r="E9" i="17"/>
  <c r="E10" i="17"/>
  <c r="E11" i="17"/>
  <c r="E12" i="17"/>
  <c r="E13" i="17"/>
  <c r="E14" i="17"/>
  <c r="E15" i="17"/>
  <c r="E16" i="17"/>
  <c r="E17" i="17"/>
  <c r="E18" i="17"/>
  <c r="E2" i="17"/>
  <c r="E19" i="12"/>
  <c r="C21" i="12"/>
  <c r="D22" i="12"/>
  <c r="G12" i="12" s="1"/>
  <c r="C22" i="12"/>
  <c r="F6" i="12" s="1"/>
  <c r="E9" i="12"/>
  <c r="E7" i="12"/>
  <c r="E6" i="12"/>
  <c r="E5" i="12"/>
  <c r="E18" i="12"/>
  <c r="E14" i="12"/>
  <c r="E4" i="12"/>
  <c r="E17" i="12"/>
  <c r="E10" i="12"/>
  <c r="E8" i="12"/>
  <c r="E15" i="12"/>
  <c r="E13" i="12"/>
  <c r="E11" i="12"/>
  <c r="E12" i="12"/>
  <c r="E16" i="12"/>
  <c r="B21" i="14"/>
  <c r="B20" i="14"/>
  <c r="G9" i="23" l="1"/>
  <c r="G17" i="23"/>
  <c r="G14" i="23"/>
  <c r="G10" i="23"/>
  <c r="G15" i="23"/>
  <c r="G18" i="23"/>
  <c r="G6" i="23"/>
  <c r="G7" i="23"/>
  <c r="G11" i="23"/>
  <c r="G2" i="23"/>
  <c r="G16" i="23"/>
  <c r="G8" i="23"/>
  <c r="G5" i="23"/>
  <c r="G4" i="23"/>
  <c r="G12" i="23"/>
  <c r="G3" i="23"/>
  <c r="C23" i="12"/>
  <c r="E24" i="19"/>
  <c r="E40" i="19"/>
  <c r="E30" i="19"/>
  <c r="E38" i="19"/>
  <c r="F38" i="19" s="1"/>
  <c r="E28" i="19"/>
  <c r="F28" i="19" s="1"/>
  <c r="E37" i="19"/>
  <c r="E27" i="19"/>
  <c r="F31" i="19" s="1"/>
  <c r="E29" i="19"/>
  <c r="E39" i="19"/>
  <c r="F39" i="19" s="1"/>
  <c r="E35" i="19"/>
  <c r="F32" i="19" s="1"/>
  <c r="E25" i="19"/>
  <c r="F36" i="19"/>
  <c r="F26" i="19"/>
  <c r="F37" i="19"/>
  <c r="F3" i="12"/>
  <c r="E22" i="12"/>
  <c r="G11" i="12"/>
  <c r="G10" i="12"/>
  <c r="G19" i="12"/>
  <c r="G9" i="12"/>
  <c r="G8" i="12"/>
  <c r="G6" i="12"/>
  <c r="G5" i="12"/>
  <c r="F11" i="12"/>
  <c r="G18" i="12"/>
  <c r="G7" i="12"/>
  <c r="F10" i="12"/>
  <c r="G17" i="12"/>
  <c r="F19" i="12"/>
  <c r="F9" i="12"/>
  <c r="G16" i="12"/>
  <c r="F18" i="12"/>
  <c r="F8" i="12"/>
  <c r="G15" i="12"/>
  <c r="G4" i="12"/>
  <c r="F13" i="12"/>
  <c r="G3" i="12"/>
  <c r="G14" i="12"/>
  <c r="F15" i="12"/>
  <c r="F5" i="12"/>
  <c r="F14" i="12"/>
  <c r="F4" i="12"/>
  <c r="F12" i="12"/>
  <c r="F17" i="12"/>
  <c r="F7" i="12"/>
  <c r="G13" i="12"/>
  <c r="F16" i="12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7" i="1"/>
  <c r="F29" i="19" l="1"/>
  <c r="F40" i="19"/>
  <c r="F34" i="19"/>
  <c r="F25" i="19"/>
  <c r="F27" i="19"/>
  <c r="F35" i="19"/>
  <c r="F33" i="19"/>
  <c r="F30" i="19"/>
  <c r="F24" i="19"/>
</calcChain>
</file>

<file path=xl/sharedStrings.xml><?xml version="1.0" encoding="utf-8"?>
<sst xmlns="http://schemas.openxmlformats.org/spreadsheetml/2006/main" count="7111" uniqueCount="133">
  <si>
    <t>Region</t>
  </si>
  <si>
    <t>Age</t>
  </si>
  <si>
    <t>Total</t>
  </si>
  <si>
    <t>Island</t>
  </si>
  <si>
    <t>Quarter</t>
  </si>
  <si>
    <t>Year</t>
  </si>
  <si>
    <t>SUM of Total</t>
  </si>
  <si>
    <t>NCR</t>
  </si>
  <si>
    <t>0-2</t>
  </si>
  <si>
    <t>Luzon</t>
  </si>
  <si>
    <t>Q1</t>
  </si>
  <si>
    <t>BARMM</t>
  </si>
  <si>
    <t>3-5</t>
  </si>
  <si>
    <t>CAR</t>
  </si>
  <si>
    <t>6-14</t>
  </si>
  <si>
    <t>I</t>
  </si>
  <si>
    <t>15-18</t>
  </si>
  <si>
    <t>II</t>
  </si>
  <si>
    <t>III</t>
  </si>
  <si>
    <t>IV-A</t>
  </si>
  <si>
    <t>IX</t>
  </si>
  <si>
    <t>MIMAROPA</t>
  </si>
  <si>
    <t>V</t>
  </si>
  <si>
    <t>VI</t>
  </si>
  <si>
    <t>VII</t>
  </si>
  <si>
    <t>VIII</t>
  </si>
  <si>
    <t>X</t>
  </si>
  <si>
    <t>XI</t>
  </si>
  <si>
    <t>XII</t>
  </si>
  <si>
    <t>XIII</t>
  </si>
  <si>
    <t>Grand Total</t>
  </si>
  <si>
    <t>Visayas</t>
  </si>
  <si>
    <t>Mindanao</t>
  </si>
  <si>
    <t>Q2</t>
  </si>
  <si>
    <t>Q3</t>
  </si>
  <si>
    <t>Q4</t>
  </si>
  <si>
    <t>Gender</t>
  </si>
  <si>
    <t>Male</t>
  </si>
  <si>
    <t>Female</t>
  </si>
  <si>
    <t>Enrollees Number</t>
  </si>
  <si>
    <t>Level</t>
  </si>
  <si>
    <t>SUM of Enrollees Number</t>
  </si>
  <si>
    <t>Kindergarten</t>
  </si>
  <si>
    <t>2018-2019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</si>
  <si>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</si>
  <si>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</si>
  <si>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</si>
  <si>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</si>
  <si>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</si>
  <si>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</si>
  <si>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</si>
  <si>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</si>
  <si>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</si>
  <si>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</si>
  <si>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</si>
  <si>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</si>
  <si>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2019-2020</t>
  </si>
  <si>
    <t>2020-2021</t>
  </si>
  <si>
    <t>Total Enrollees (K to 12)</t>
  </si>
  <si>
    <t>Median</t>
  </si>
  <si>
    <t>Notes:</t>
  </si>
  <si>
    <t>Age Bracket per Level:</t>
  </si>
  <si>
    <t>* Kindergarten: at least 5 yrs old</t>
  </si>
  <si>
    <t>* Grade 1-10: 6 to 14 yrs old</t>
  </si>
  <si>
    <t>* Grade 11-12 (SHS): 15 to 19 yrs old</t>
  </si>
  <si>
    <t>* Q1 (Jan-Mar): Count is before the school year starts, so it doesn't match the enrolled students.</t>
  </si>
  <si>
    <t>* Q2 (Apr-Jun): Data is incomplete for some regions, which would make the analysis unfair.</t>
  </si>
  <si>
    <t>* Q3 (Jul-Sep): Data is incomplete for some regions, which would make the analysis unfair.</t>
  </si>
  <si>
    <t>* Q4 (Oct-Dec): The data is complete for all regions, and it's taken during the school year when children should be enrolled.</t>
  </si>
  <si>
    <t>(All)</t>
  </si>
  <si>
    <t>4Ps Children Total Population (5-19 yrs old)</t>
  </si>
  <si>
    <t>High</t>
  </si>
  <si>
    <t>Low</t>
  </si>
  <si>
    <t># of Public Schools</t>
  </si>
  <si>
    <t>WHY?</t>
  </si>
  <si>
    <t>How big the share of 4Ps children is inside the education system?</t>
  </si>
  <si>
    <t>Diagnose gaps and explain why some regions need more intervention</t>
  </si>
  <si>
    <r>
      <t xml:space="preserve">4Ps Children Count per Quarter: </t>
    </r>
    <r>
      <rPr>
        <b/>
        <sz val="14"/>
        <color rgb="FF000000"/>
        <rFont val="Calibri"/>
        <family val="2"/>
      </rPr>
      <t>Median Value is used to account for all quarters</t>
    </r>
  </si>
  <si>
    <t>% Ratio</t>
  </si>
  <si>
    <t>4Ps Children</t>
  </si>
  <si>
    <t>K-12 Enrollment Count</t>
  </si>
  <si>
    <t>IV-B</t>
  </si>
  <si>
    <t>Share</t>
  </si>
  <si>
    <t># of Schools</t>
  </si>
  <si>
    <t>Type</t>
  </si>
  <si>
    <t>Public</t>
  </si>
  <si>
    <t>Elementary</t>
  </si>
  <si>
    <t>2020-2021 only</t>
  </si>
  <si>
    <t>Private</t>
  </si>
  <si>
    <t>JHS</t>
  </si>
  <si>
    <t>SHS</t>
  </si>
  <si>
    <t>Row Labels</t>
  </si>
  <si>
    <t>Sum of # of Schools</t>
  </si>
  <si>
    <t>Junior High School</t>
  </si>
  <si>
    <t>Senior High School</t>
  </si>
  <si>
    <t>Overall</t>
  </si>
  <si>
    <t>SY 2016-2017</t>
  </si>
  <si>
    <t>SY 2017-2018</t>
  </si>
  <si>
    <t>SY 2018-2019</t>
  </si>
  <si>
    <t>SY 2019-2020</t>
  </si>
  <si>
    <t>SY 2020-2021</t>
  </si>
  <si>
    <t>standard for both classroom and student</t>
  </si>
  <si>
    <t>Enrollment Count: SY 2020-2021 data was used since this is the latest data we have</t>
  </si>
  <si>
    <t>Region I</t>
  </si>
  <si>
    <t>Region II</t>
  </si>
  <si>
    <t>Region III</t>
  </si>
  <si>
    <t>Region IV-A (CALABARZON)</t>
  </si>
  <si>
    <t>Region IV-B (MIMAROPA)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</si>
  <si>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</si>
  <si>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</si>
  <si>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</si>
  <si>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</si>
  <si>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</si>
  <si>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</si>
  <si>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</si>
  <si>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</si>
  <si>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</si>
  <si>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CONVERT (Formula = 18-rank sa taas)</t>
  </si>
  <si>
    <t>Rank</t>
  </si>
  <si>
    <t>Enrollment</t>
  </si>
  <si>
    <t>Classroom Capacity</t>
  </si>
  <si>
    <t>Teacher Capacity</t>
  </si>
  <si>
    <t>1 as the best to 17 worst perf level</t>
  </si>
  <si>
    <t>Enrollment Ranking</t>
  </si>
  <si>
    <t>Ave Grade</t>
  </si>
  <si>
    <t>Adjusted X</t>
  </si>
  <si>
    <t>Adjusted Y</t>
  </si>
  <si>
    <t>4Ps Member/Children Count</t>
  </si>
  <si>
    <t xml:space="preserve">used as Y value </t>
  </si>
  <si>
    <t>Enrollment Rate</t>
  </si>
  <si>
    <t>KINDER</t>
  </si>
  <si>
    <t>ELEM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</si>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</sst>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ptos Narrow"/>
    </font>
    <font>
      <sz val="11"/>
      <color rgb="FF000000"/>
      <name val="Calibri"/>
      <family val="2"/>
    </font>
    <font>
      <b/>
      <sz val="12"/>
      <color rgb="FF000000"/>
      <name val="Arial (Body)"/>
    </font>
    <font>
      <sz val="12"/>
      <color rgb="FF000000"/>
      <name val="Arial (Body)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vertical="top"/>
    </xf>
    <xf numFmtId="49" fontId="3" fillId="2" borderId="0" xfId="0" applyNumberFormat="1" applyFont="1" applyFill="1" applyAlignment="1">
      <alignment vertical="top"/>
    </xf>
    <xf numFmtId="0" fontId="3" fillId="2" borderId="0" xfId="0" applyFont="1" applyFill="1" applyAlignment="1">
      <alignment horizontal="right" vertical="top"/>
    </xf>
    <xf numFmtId="0" fontId="4" fillId="0" borderId="0" xfId="0" applyFont="1" applyAlignment="1">
      <alignment horizontal="center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1" xfId="0" applyFont="1" applyBorder="1"/>
    <xf numFmtId="0" fontId="6" fillId="0" borderId="3" xfId="0" applyFont="1" applyBorder="1"/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9" fontId="9" fillId="0" borderId="0" xfId="1" applyFont="1" applyAlignment="1">
      <alignment horizontal="center"/>
    </xf>
    <xf numFmtId="0" fontId="6" fillId="4" borderId="0" xfId="0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9" fillId="0" borderId="0" xfId="0" applyNumberFormat="1" applyFont="1" applyAlignment="1">
      <alignment horizontal="center"/>
    </xf>
    <xf numFmtId="0" fontId="5" fillId="0" borderId="0" xfId="0" applyFont="1"/>
    <xf numFmtId="0" fontId="8" fillId="0" borderId="0" xfId="0" applyFont="1"/>
    <xf numFmtId="1" fontId="8" fillId="0" borderId="0" xfId="0" applyNumberFormat="1" applyFont="1" applyAlignment="1">
      <alignment horizontal="center"/>
    </xf>
    <xf numFmtId="0" fontId="5" fillId="5" borderId="0" xfId="0" applyFont="1" applyFill="1"/>
    <xf numFmtId="0" fontId="6" fillId="0" borderId="0" xfId="0" applyFont="1" applyAlignment="1">
      <alignment horizontal="center" vertical="center"/>
    </xf>
    <xf numFmtId="0" fontId="5" fillId="6" borderId="0" xfId="0" applyFont="1" applyFill="1"/>
    <xf numFmtId="0" fontId="0" fillId="6" borderId="0" xfId="0" applyFill="1"/>
    <xf numFmtId="0" fontId="0" fillId="5" borderId="0" xfId="0" applyFill="1"/>
    <xf numFmtId="9" fontId="0" fillId="0" borderId="0" xfId="1" applyFont="1"/>
    <xf numFmtId="9" fontId="0" fillId="0" borderId="0" xfId="0" applyNumberFormat="1"/>
    <xf numFmtId="9" fontId="8" fillId="0" borderId="0" xfId="1" applyFont="1" applyAlignment="1">
      <alignment horizontal="center"/>
    </xf>
    <xf numFmtId="0" fontId="11" fillId="2" borderId="0" xfId="0" applyFont="1" applyFill="1"/>
    <xf numFmtId="0" fontId="11" fillId="3" borderId="0" xfId="0" applyFont="1" applyFill="1"/>
    <xf numFmtId="0" fontId="11" fillId="2" borderId="0" xfId="0" applyFont="1" applyFill="1" applyAlignment="1">
      <alignment horizontal="left"/>
    </xf>
    <xf numFmtId="0" fontId="11" fillId="0" borderId="0" xfId="0" applyFont="1"/>
    <xf numFmtId="0" fontId="12" fillId="2" borderId="0" xfId="0" applyFont="1" applyFill="1"/>
    <xf numFmtId="0" fontId="12" fillId="7" borderId="0" xfId="0" applyFont="1" applyFill="1"/>
    <xf numFmtId="0" fontId="8" fillId="4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0" fontId="9" fillId="0" borderId="0" xfId="0" applyNumberFormat="1" applyFont="1"/>
    <xf numFmtId="0" fontId="16" fillId="0" borderId="0" xfId="0" applyFont="1"/>
    <xf numFmtId="0" fontId="17" fillId="0" borderId="0" xfId="0" applyFont="1"/>
    <xf numFmtId="20" fontId="17" fillId="0" borderId="0" xfId="0" applyNumberFormat="1" applyFont="1"/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164" fontId="5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5" fontId="9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6" fillId="8" borderId="0" xfId="0" applyFont="1" applyFill="1" applyAlignment="1">
      <alignment horizontal="center"/>
    </xf>
    <xf numFmtId="165" fontId="0" fillId="8" borderId="0" xfId="1" applyNumberFormat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1" fillId="0" borderId="0" xfId="0" applyFont="1"/>
    <xf numFmtId="0" fontId="0" fillId="0" borderId="1" xfId="0" applyNumberFormat="1" applyBorder="1"/>
    <xf numFmtId="0" fontId="0" fillId="0" borderId="9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0" xfId="0" applyNumberFormat="1"/>
    <xf numFmtId="0" fontId="0" fillId="0" borderId="4" xfId="0" applyNumberFormat="1" applyBorder="1"/>
    <xf numFmtId="0" fontId="0" fillId="0" borderId="5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6" fillId="0" borderId="2" xfId="0" applyNumberFormat="1" applyFont="1" applyBorder="1"/>
    <xf numFmtId="0" fontId="6" fillId="0" borderId="4" xfId="0" applyNumberFormat="1" applyFont="1" applyBorder="1"/>
  </cellXfs>
  <cellStyles count="2">
    <cellStyle name="Normal" xfId="0" builtinId="0"/>
    <cellStyle name="Percent" xfId="1" builtinId="5"/>
  </cellStyles>
  <dxfs count="4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colors>
    <mruColors>
      <color rgb="FF417FB7"/>
      <color rgb="FF4C8DFF"/>
      <color rgb="FF407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ysClr val="windowText" lastClr="000000"/>
                </a:solidFill>
              </a:rPr>
              <a:t>Total K-12 Enrollees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'Enrollment Numbers Final'!$D$2</c:f>
              <c:strCache>
                <c:ptCount val="1"/>
                <c:pt idx="0">
                  <c:v>Total Enrollees (K to 12)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'Enrollment Numbers Final'!$B$3:$B$19</c:f>
              <c:strCache>
                <c:ptCount val="17"/>
                <c:pt idx="0">
                  <c:v>CAR</c:v>
                </c:pt>
                <c:pt idx="1">
                  <c:v>XIII</c:v>
                </c:pt>
                <c:pt idx="2">
                  <c:v>BARMM</c:v>
                </c:pt>
                <c:pt idx="3">
                  <c:v>IV-B</c:v>
                </c:pt>
                <c:pt idx="4">
                  <c:v>II</c:v>
                </c:pt>
                <c:pt idx="5">
                  <c:v>IX</c:v>
                </c:pt>
                <c:pt idx="6">
                  <c:v>XII</c:v>
                </c:pt>
                <c:pt idx="7">
                  <c:v>VIII</c:v>
                </c:pt>
                <c:pt idx="8">
                  <c:v>I</c:v>
                </c:pt>
                <c:pt idx="9">
                  <c:v>XI</c:v>
                </c:pt>
                <c:pt idx="10">
                  <c:v>X</c:v>
                </c:pt>
                <c:pt idx="11">
                  <c:v>V</c:v>
                </c:pt>
                <c:pt idx="12">
                  <c:v>VII</c:v>
                </c:pt>
                <c:pt idx="13">
                  <c:v>VI</c:v>
                </c:pt>
                <c:pt idx="14">
                  <c:v>NCR</c:v>
                </c:pt>
                <c:pt idx="15">
                  <c:v>III</c:v>
                </c:pt>
                <c:pt idx="16">
                  <c:v>IV-A</c:v>
                </c:pt>
              </c:strCache>
            </c:strRef>
          </c:cat>
          <c:val>
            <c:numRef>
              <c:f>'Enrollment Numbers Final'!$D$3:$D$19</c:f>
              <c:numCache>
                <c:formatCode>General</c:formatCode>
                <c:ptCount val="17"/>
                <c:pt idx="0">
                  <c:v>780001</c:v>
                </c:pt>
                <c:pt idx="1">
                  <c:v>780001</c:v>
                </c:pt>
                <c:pt idx="2">
                  <c:v>870095</c:v>
                </c:pt>
                <c:pt idx="3">
                  <c:v>882763</c:v>
                </c:pt>
                <c:pt idx="4">
                  <c:v>913322</c:v>
                </c:pt>
                <c:pt idx="5">
                  <c:v>1027901</c:v>
                </c:pt>
                <c:pt idx="6">
                  <c:v>1256650</c:v>
                </c:pt>
                <c:pt idx="7">
                  <c:v>1265851</c:v>
                </c:pt>
                <c:pt idx="8">
                  <c:v>1284454</c:v>
                </c:pt>
                <c:pt idx="9">
                  <c:v>1286075</c:v>
                </c:pt>
                <c:pt idx="10">
                  <c:v>1290234</c:v>
                </c:pt>
                <c:pt idx="11">
                  <c:v>1665253</c:v>
                </c:pt>
                <c:pt idx="12">
                  <c:v>2007141</c:v>
                </c:pt>
                <c:pt idx="13">
                  <c:v>2043920</c:v>
                </c:pt>
                <c:pt idx="14">
                  <c:v>2660593</c:v>
                </c:pt>
                <c:pt idx="15">
                  <c:v>2826829</c:v>
                </c:pt>
                <c:pt idx="16">
                  <c:v>3652990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7-FA49-AF56-F597EDEEF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9027216"/>
        <c:axId val="619029856"/>
      </c:barChart>
      <c:catAx>
        <c:axId val="6190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856"/>
        <c:crosses val="autoZero"/>
        <c:auto val="1"/>
        <c:lblAlgn val="ctr"/>
        <c:lblOffset val="100"/>
        <c:noMultiLvlLbl val="0"/>
      </c:catAx>
      <c:valAx>
        <c:axId val="619029856"/>
        <c:scaling>
          <c:orientation val="minMax"/>
          <c:max val="4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72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No. of Public Schools Across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05B-724E-AE71-855E29DDC9E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05B-724E-AE71-855E29DDC9E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05B-724E-AE71-855E29DDC9E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05B-724E-AE71-855E29DDC9E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05B-724E-AE71-855E29DDC9E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05B-724E-AE71-855E29DDC9E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05B-724E-AE71-855E29DDC9E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05B-724E-AE71-855E29DDC9E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05B-724E-AE71-855E29DDC9EE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05B-724E-AE71-855E29DDC9EE}"/>
              </c:ext>
            </c:extLst>
          </c:dPt>
          <c:dPt>
            <c:idx val="1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05B-724E-AE71-855E29DDC9EE}"/>
              </c:ext>
            </c:extLst>
          </c:dPt>
          <c:dPt>
            <c:idx val="1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5B-724E-AE71-855E29DDC9EE}"/>
              </c:ext>
            </c:extLst>
          </c:dPt>
          <c:dPt>
            <c:idx val="1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5B-724E-AE71-855E29DDC9EE}"/>
              </c:ext>
            </c:extLst>
          </c:dPt>
          <c:dPt>
            <c:idx val="1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5B-724E-AE71-855E29DDC9EE}"/>
              </c:ext>
            </c:extLst>
          </c:dPt>
          <c:dPt>
            <c:idx val="1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5B-724E-AE71-855E29DDC9EE}"/>
              </c:ext>
            </c:extLst>
          </c:dPt>
          <c:dPt>
            <c:idx val="1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B-724E-AE71-855E29DDC9EE}"/>
              </c:ext>
            </c:extLst>
          </c:dPt>
          <c:dPt>
            <c:idx val="1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5B-724E-AE71-855E29DDC9EE}"/>
              </c:ext>
            </c:extLst>
          </c:dPt>
          <c:cat>
            <c:strRef>
              <c:f>'Public Schools Count 2020'!$A$2:$A$18</c:f>
              <c:strCache>
                <c:ptCount val="17"/>
                <c:pt idx="0">
                  <c:v>NCR</c:v>
                </c:pt>
                <c:pt idx="1">
                  <c:v>CAR</c:v>
                </c:pt>
                <c:pt idx="2">
                  <c:v>XIII</c:v>
                </c:pt>
                <c:pt idx="3">
                  <c:v>MIMAROPA</c:v>
                </c:pt>
                <c:pt idx="4">
                  <c:v>XI</c:v>
                </c:pt>
                <c:pt idx="5">
                  <c:v>BARMM</c:v>
                </c:pt>
                <c:pt idx="6">
                  <c:v>XII</c:v>
                </c:pt>
                <c:pt idx="7">
                  <c:v>IX</c:v>
                </c:pt>
                <c:pt idx="8">
                  <c:v>II</c:v>
                </c:pt>
                <c:pt idx="9">
                  <c:v>X</c:v>
                </c:pt>
                <c:pt idx="10">
                  <c:v>I</c:v>
                </c:pt>
                <c:pt idx="11">
                  <c:v>IV-A</c:v>
                </c:pt>
                <c:pt idx="12">
                  <c:v>III</c:v>
                </c:pt>
                <c:pt idx="13">
                  <c:v>V</c:v>
                </c:pt>
                <c:pt idx="14">
                  <c:v>VII</c:v>
                </c:pt>
                <c:pt idx="15">
                  <c:v>VIII</c:v>
                </c:pt>
                <c:pt idx="16">
                  <c:v>VI</c:v>
                </c:pt>
              </c:strCache>
            </c:strRef>
          </c:cat>
          <c:val>
            <c:numRef>
              <c:f>'Public Schools Count 2020'!$B$2:$B$18</c:f>
              <c:numCache>
                <c:formatCode>General</c:formatCode>
                <c:ptCount val="17"/>
                <c:pt idx="0">
                  <c:v>1045</c:v>
                </c:pt>
                <c:pt idx="1">
                  <c:v>2106</c:v>
                </c:pt>
                <c:pt idx="2">
                  <c:v>2578</c:v>
                </c:pt>
                <c:pt idx="3">
                  <c:v>2662</c:v>
                </c:pt>
                <c:pt idx="4">
                  <c:v>2680</c:v>
                </c:pt>
                <c:pt idx="5">
                  <c:v>2722</c:v>
                </c:pt>
                <c:pt idx="6">
                  <c:v>2859</c:v>
                </c:pt>
                <c:pt idx="7">
                  <c:v>2921</c:v>
                </c:pt>
                <c:pt idx="8">
                  <c:v>3022</c:v>
                </c:pt>
                <c:pt idx="9">
                  <c:v>3104</c:v>
                </c:pt>
                <c:pt idx="10">
                  <c:v>3552</c:v>
                </c:pt>
                <c:pt idx="11">
                  <c:v>4049</c:v>
                </c:pt>
                <c:pt idx="12">
                  <c:v>4434</c:v>
                </c:pt>
                <c:pt idx="13">
                  <c:v>4582</c:v>
                </c:pt>
                <c:pt idx="14">
                  <c:v>4655</c:v>
                </c:pt>
                <c:pt idx="15">
                  <c:v>4690</c:v>
                </c:pt>
                <c:pt idx="16">
                  <c:v>4891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B-724E-AE71-855E29DDC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89184"/>
        <c:axId val="743790896"/>
      </c:barChart>
      <c:catAx>
        <c:axId val="74378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90896"/>
        <c:crosses val="autoZero"/>
        <c:auto val="1"/>
        <c:lblAlgn val="ctr"/>
        <c:lblOffset val="100"/>
        <c:noMultiLvlLbl val="0"/>
      </c:catAx>
      <c:valAx>
        <c:axId val="74379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ysClr val="windowText" lastClr="000000"/>
                </a:solidFill>
              </a:rPr>
              <a:t>Share of 4Ps Children in Total K-12 Enrollees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'4Ps Share in Enrollment DepEd'!$E$2</c:f>
              <c:strCache>
                <c:ptCount val="1"/>
                <c:pt idx="0">
                  <c:v>% Ratio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'4Ps Share in Enrollment DepEd'!$B$3:$B$19</c:f>
              <c:strCache>
                <c:ptCount val="17"/>
                <c:pt idx="0">
                  <c:v>CAR</c:v>
                </c:pt>
                <c:pt idx="1">
                  <c:v>NCR</c:v>
                </c:pt>
                <c:pt idx="2">
                  <c:v>IV-A</c:v>
                </c:pt>
                <c:pt idx="3">
                  <c:v>III</c:v>
                </c:pt>
                <c:pt idx="4">
                  <c:v>II</c:v>
                </c:pt>
                <c:pt idx="5">
                  <c:v>VII</c:v>
                </c:pt>
                <c:pt idx="6">
                  <c:v>I</c:v>
                </c:pt>
                <c:pt idx="7">
                  <c:v>VI</c:v>
                </c:pt>
                <c:pt idx="8">
                  <c:v>XI</c:v>
                </c:pt>
                <c:pt idx="9">
                  <c:v>XII</c:v>
                </c:pt>
                <c:pt idx="10">
                  <c:v>X</c:v>
                </c:pt>
                <c:pt idx="11">
                  <c:v>IV-B</c:v>
                </c:pt>
                <c:pt idx="12">
                  <c:v>VIII</c:v>
                </c:pt>
                <c:pt idx="13">
                  <c:v>XIII</c:v>
                </c:pt>
                <c:pt idx="14">
                  <c:v>V</c:v>
                </c:pt>
                <c:pt idx="15">
                  <c:v>IX</c:v>
                </c:pt>
                <c:pt idx="16">
                  <c:v>BARMM</c:v>
                </c:pt>
              </c:strCache>
            </c:strRef>
          </c:cat>
          <c:val>
            <c:numRef>
              <c:f>'4Ps Share in Enrollment DepEd'!$E$3:$E$19</c:f>
              <c:numCache>
                <c:formatCode>0%</c:formatCode>
                <c:ptCount val="17"/>
                <c:pt idx="0">
                  <c:v>0.13741905459095566</c:v>
                </c:pt>
                <c:pt idx="1">
                  <c:v>0.14992898199762233</c:v>
                </c:pt>
                <c:pt idx="2">
                  <c:v>0.16598690387874043</c:v>
                </c:pt>
                <c:pt idx="3">
                  <c:v>0.1882873000100112</c:v>
                </c:pt>
                <c:pt idx="4">
                  <c:v>0.21014111124006649</c:v>
                </c:pt>
                <c:pt idx="5">
                  <c:v>0.26934729548148334</c:v>
                </c:pt>
                <c:pt idx="6">
                  <c:v>0.29724264162048619</c:v>
                </c:pt>
                <c:pt idx="7">
                  <c:v>0.30569444988062155</c:v>
                </c:pt>
                <c:pt idx="8">
                  <c:v>0.31455591625682794</c:v>
                </c:pt>
                <c:pt idx="9">
                  <c:v>0.31973938646401145</c:v>
                </c:pt>
                <c:pt idx="10">
                  <c:v>0.34301219778737813</c:v>
                </c:pt>
                <c:pt idx="11">
                  <c:v>0.39847898020193417</c:v>
                </c:pt>
                <c:pt idx="12">
                  <c:v>0.39878311112445303</c:v>
                </c:pt>
                <c:pt idx="13">
                  <c:v>0.41322959842359175</c:v>
                </c:pt>
                <c:pt idx="14">
                  <c:v>0.43640275681833329</c:v>
                </c:pt>
                <c:pt idx="15">
                  <c:v>0.47774591132803645</c:v>
                </c:pt>
                <c:pt idx="16">
                  <c:v>0.7984668340813359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E-9C45-8FB5-5CBB5BDBC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9027216"/>
        <c:axId val="619029856"/>
      </c:barChart>
      <c:catAx>
        <c:axId val="6190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856"/>
        <c:crosses val="autoZero"/>
        <c:auto val="1"/>
        <c:lblAlgn val="ctr"/>
        <c:lblOffset val="100"/>
        <c:noMultiLvlLbl val="0"/>
      </c:catAx>
      <c:valAx>
        <c:axId val="619029856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chemeClr val="tx1"/>
                </a:solidFill>
              </a:rPr>
              <a:t>Classroom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'Classroom Ratio'!$E$1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731-504D-930C-33C27735A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731-504D-930C-33C27735AFDA}"/>
              </c:ext>
            </c:extLst>
          </c:dPt>
          <c:cat>
            <c:strRef>
              <c:f>'Classroom Ratio'!$A$2:$A$18</c:f>
              <c:strCache>
                <c:ptCount val="17"/>
                <c:pt idx="0">
                  <c:v>NCR</c:v>
                </c:pt>
                <c:pt idx="1">
                  <c:v>IV-A</c:v>
                </c:pt>
                <c:pt idx="2">
                  <c:v>III</c:v>
                </c:pt>
                <c:pt idx="3">
                  <c:v>I</c:v>
                </c:pt>
                <c:pt idx="4">
                  <c:v>II</c:v>
                </c:pt>
                <c:pt idx="5">
                  <c:v>CAR</c:v>
                </c:pt>
                <c:pt idx="6">
                  <c:v>IV-B</c:v>
                </c:pt>
                <c:pt idx="7">
                  <c:v>V</c:v>
                </c:pt>
                <c:pt idx="8">
                  <c:v>VI</c:v>
                </c:pt>
                <c:pt idx="9">
                  <c:v>VII</c:v>
                </c:pt>
                <c:pt idx="10">
                  <c:v>VIII</c:v>
                </c:pt>
                <c:pt idx="11">
                  <c:v>IX</c:v>
                </c:pt>
                <c:pt idx="12">
                  <c:v>X</c:v>
                </c:pt>
                <c:pt idx="13">
                  <c:v>XI</c:v>
                </c:pt>
                <c:pt idx="14">
                  <c:v>XII</c:v>
                </c:pt>
                <c:pt idx="15">
                  <c:v>XIII</c:v>
                </c:pt>
                <c:pt idx="16">
                  <c:v>BARMM</c:v>
                </c:pt>
              </c:strCache>
            </c:strRef>
          </c:cat>
          <c:val>
            <c:numRef>
              <c:f>'Classroom Ratio'!$E$2:$E$18</c:f>
              <c:numCache>
                <c:formatCode>0</c:formatCode>
                <c:ptCount val="17"/>
                <c:pt idx="0">
                  <c:v>40.090589613432257</c:v>
                </c:pt>
                <c:pt idx="1">
                  <c:v>38.597938144329895</c:v>
                </c:pt>
                <c:pt idx="2">
                  <c:v>32.130518234165066</c:v>
                </c:pt>
                <c:pt idx="3">
                  <c:v>27.218516893374289</c:v>
                </c:pt>
                <c:pt idx="4">
                  <c:v>25.379450661241098</c:v>
                </c:pt>
                <c:pt idx="5">
                  <c:v>23.346330275229356</c:v>
                </c:pt>
                <c:pt idx="6">
                  <c:v>23.346330275229356</c:v>
                </c:pt>
                <c:pt idx="7">
                  <c:v>23.346330275229356</c:v>
                </c:pt>
                <c:pt idx="8">
                  <c:v>23.346330275229356</c:v>
                </c:pt>
                <c:pt idx="9">
                  <c:v>23.346330275229356</c:v>
                </c:pt>
                <c:pt idx="10">
                  <c:v>23.346330275229356</c:v>
                </c:pt>
                <c:pt idx="11">
                  <c:v>23.346330275229356</c:v>
                </c:pt>
                <c:pt idx="12">
                  <c:v>23.346330275229356</c:v>
                </c:pt>
                <c:pt idx="13">
                  <c:v>23.346330275229356</c:v>
                </c:pt>
                <c:pt idx="14">
                  <c:v>23.346330275229356</c:v>
                </c:pt>
                <c:pt idx="15">
                  <c:v>23.346330275229356</c:v>
                </c:pt>
                <c:pt idx="16">
                  <c:v>23.346330275229356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1-504D-930C-33C27735A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377076096"/>
        <c:axId val="377004768"/>
      </c:barChart>
      <c:catAx>
        <c:axId val="3770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04768"/>
        <c:crosses val="autoZero"/>
        <c:auto val="1"/>
        <c:lblAlgn val="ctr"/>
        <c:lblOffset val="100"/>
        <c:noMultiLvlLbl val="0"/>
      </c:catAx>
      <c:valAx>
        <c:axId val="37700476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ysClr val="windowText" lastClr="000000"/>
                </a:solidFill>
              </a:rPr>
              <a:t>Share of 4Ps Children in Total K-12 Enrollees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9027216"/>
        <c:axId val="619029856"/>
      </c:barChart>
      <c:catAx>
        <c:axId val="6190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856"/>
        <c:crosses val="autoZero"/>
        <c:auto val="1"/>
        <c:lblAlgn val="ctr"/>
        <c:lblOffset val="100"/>
        <c:noMultiLvlLbl val="0"/>
      </c:catAx>
      <c:valAx>
        <c:axId val="619029856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chemeClr val="tx1"/>
                </a:solidFill>
              </a:rPr>
              <a:t>Teacher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'Teacher Ratio'!$G$1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79-DE4B-BCE3-81BCCBC1477D}"/>
              </c:ext>
            </c:extLst>
          </c:dPt>
          <c:cat>
            <c:strRef>
              <c:f>'Teacher Ratio'!$A$2:$A$18</c:f>
              <c:strCache>
                <c:ptCount val="17"/>
                <c:pt idx="0">
                  <c:v>BARMM</c:v>
                </c:pt>
                <c:pt idx="1">
                  <c:v>VI</c:v>
                </c:pt>
                <c:pt idx="2">
                  <c:v>VIII</c:v>
                </c:pt>
                <c:pt idx="3">
                  <c:v>NCR</c:v>
                </c:pt>
                <c:pt idx="4">
                  <c:v>III</c:v>
                </c:pt>
                <c:pt idx="5">
                  <c:v>IV-A</c:v>
                </c:pt>
                <c:pt idx="6">
                  <c:v>VII</c:v>
                </c:pt>
                <c:pt idx="7">
                  <c:v>X</c:v>
                </c:pt>
                <c:pt idx="8">
                  <c:v>XI</c:v>
                </c:pt>
                <c:pt idx="9">
                  <c:v>XII</c:v>
                </c:pt>
                <c:pt idx="10">
                  <c:v>I</c:v>
                </c:pt>
                <c:pt idx="11">
                  <c:v>IV-B</c:v>
                </c:pt>
                <c:pt idx="12">
                  <c:v>IX</c:v>
                </c:pt>
                <c:pt idx="13">
                  <c:v>CAR</c:v>
                </c:pt>
                <c:pt idx="14">
                  <c:v>II</c:v>
                </c:pt>
                <c:pt idx="15">
                  <c:v>V</c:v>
                </c:pt>
                <c:pt idx="16">
                  <c:v>XIII</c:v>
                </c:pt>
              </c:strCache>
            </c:strRef>
          </c:cat>
          <c:val>
            <c:numRef>
              <c:f>'Teacher Ratio'!$G$2:$G$18</c:f>
              <c:numCache>
                <c:formatCode>General</c:formatCode>
                <c:ptCount val="17"/>
                <c:pt idx="0">
                  <c:v>52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25</c:v>
                </c:pt>
                <c:pt idx="15">
                  <c:v>23</c:v>
                </c:pt>
                <c:pt idx="1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9-DE4B-BCE3-81BCCBC14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377437008"/>
        <c:axId val="377438720"/>
      </c:barChart>
      <c:catAx>
        <c:axId val="37743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38720"/>
        <c:crosses val="autoZero"/>
        <c:auto val="1"/>
        <c:lblAlgn val="ctr"/>
        <c:lblOffset val="100"/>
        <c:noMultiLvlLbl val="0"/>
      </c:catAx>
      <c:valAx>
        <c:axId val="377438720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3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solidFill>
                  <a:sysClr val="windowText" lastClr="000000"/>
                </a:solidFill>
              </a:rPr>
              <a:t>K-12 Enrollment Rate SY</a:t>
            </a:r>
            <a:r>
              <a:rPr lang="en-US" sz="2200" baseline="0">
                <a:solidFill>
                  <a:sysClr val="windowText" lastClr="000000"/>
                </a:solidFill>
              </a:rPr>
              <a:t> 2019-2020</a:t>
            </a:r>
            <a:endParaRPr lang="en-US" sz="22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'ENROLLMENT RATE'!$F$1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84-FC47-AAFB-A1831CDBAF2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84-FC47-AAFB-A1831CDBAF28}"/>
              </c:ext>
            </c:extLst>
          </c:dPt>
          <c:dLbls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284-FC47-AAFB-A1831CDBA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'ENROLLMENT RATE'!$A$2:$A$18</c:f>
              <c:strCache>
                <c:ptCount val="17"/>
                <c:pt idx="0">
                  <c:v>III</c:v>
                </c:pt>
                <c:pt idx="1">
                  <c:v>IV-A</c:v>
                </c:pt>
                <c:pt idx="2">
                  <c:v>II</c:v>
                </c:pt>
                <c:pt idx="3">
                  <c:v>VII</c:v>
                </c:pt>
                <c:pt idx="4">
                  <c:v>NCR</c:v>
                </c:pt>
                <c:pt idx="5">
                  <c:v>I</c:v>
                </c:pt>
                <c:pt idx="6">
                  <c:v>VI</c:v>
                </c:pt>
                <c:pt idx="7">
                  <c:v>CAR</c:v>
                </c:pt>
                <c:pt idx="8">
                  <c:v>X</c:v>
                </c:pt>
                <c:pt idx="9">
                  <c:v>XIII</c:v>
                </c:pt>
                <c:pt idx="10">
                  <c:v>XI</c:v>
                </c:pt>
                <c:pt idx="11">
                  <c:v>V</c:v>
                </c:pt>
                <c:pt idx="12">
                  <c:v>IV-B</c:v>
                </c:pt>
                <c:pt idx="13">
                  <c:v>VIII</c:v>
                </c:pt>
                <c:pt idx="14">
                  <c:v>XII</c:v>
                </c:pt>
                <c:pt idx="15">
                  <c:v>IX</c:v>
                </c:pt>
                <c:pt idx="16">
                  <c:v>BARMM</c:v>
                </c:pt>
              </c:strCache>
            </c:strRef>
          </c:cat>
          <c:val>
            <c:numRef>
              <c:f>'ENROLLMENT RATE'!$F$2:$F$18</c:f>
              <c:numCache>
                <c:formatCode>0.0%</c:formatCode>
                <c:ptCount val="17"/>
                <c:pt idx="0">
                  <c:v>0.78194999999999992</c:v>
                </c:pt>
                <c:pt idx="1">
                  <c:v>0.76560000000000006</c:v>
                </c:pt>
                <c:pt idx="2">
                  <c:v>0.76222499999999993</c:v>
                </c:pt>
                <c:pt idx="3">
                  <c:v>0.75974999999999993</c:v>
                </c:pt>
                <c:pt idx="4">
                  <c:v>0.74759999999999993</c:v>
                </c:pt>
                <c:pt idx="5">
                  <c:v>0.74620000000000009</c:v>
                </c:pt>
                <c:pt idx="6">
                  <c:v>0.73492500000000005</c:v>
                </c:pt>
                <c:pt idx="7">
                  <c:v>0.72252499999999997</c:v>
                </c:pt>
                <c:pt idx="8">
                  <c:v>0.71847499999999997</c:v>
                </c:pt>
                <c:pt idx="9">
                  <c:v>0.70530000000000004</c:v>
                </c:pt>
                <c:pt idx="10">
                  <c:v>0.70322499999999988</c:v>
                </c:pt>
                <c:pt idx="11">
                  <c:v>0.70209999999999995</c:v>
                </c:pt>
                <c:pt idx="12">
                  <c:v>0.689975</c:v>
                </c:pt>
                <c:pt idx="13">
                  <c:v>0.68869999999999987</c:v>
                </c:pt>
                <c:pt idx="14">
                  <c:v>0.67497499999999988</c:v>
                </c:pt>
                <c:pt idx="15">
                  <c:v>0.66402500000000009</c:v>
                </c:pt>
                <c:pt idx="16">
                  <c:v>0.43057499999999999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4-FC47-AAFB-A1831CDBA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619027216"/>
        <c:axId val="619029856"/>
      </c:barChart>
      <c:catAx>
        <c:axId val="6190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9856"/>
        <c:crosses val="autoZero"/>
        <c:auto val="1"/>
        <c:lblAlgn val="ctr"/>
        <c:lblOffset val="100"/>
        <c:noMultiLvlLbl val="0"/>
      </c:catAx>
      <c:valAx>
        <c:axId val="619029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'Matrix Chart'!$E$1</c:f>
              <c:strCache>
                <c:ptCount val="1"/>
                <c:pt idx="0">
                  <c:v>Adjusted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1FB-8A4F-A8DB-9DFB5F68D613}"/>
              </c:ext>
            </c:extLst>
          </c:dPt>
          <c:dPt>
            <c:idx val="1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1FB-8A4F-A8DB-9DFB5F68D613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1FB-8A4F-A8DB-9DFB5F68D613}"/>
              </c:ext>
            </c:extLst>
          </c:dPt>
          <c:dLbls>
            <c:dLbl>
              <c:idx val="0"/>
              <c:layout>
                <c:manualLayout>
                  <c:x val="-4.2257461691911781E-2"/>
                  <c:y val="-2.494400123913741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069F48E-F4D7-2B41-B32D-6C5EF04CB32B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22398495056818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1FB-8A4F-A8DB-9DFB5F68D613}"/>
                </c:ext>
              </c:extLst>
            </c:dLbl>
            <c:dLbl>
              <c:idx val="1"/>
              <c:layout>
                <c:manualLayout>
                  <c:x val="-6.519555947013625E-2"/>
                  <c:y val="-1.7831883986666831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0A6E84-4218-1844-AB79-445796161065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855743177325016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1FB-8A4F-A8DB-9DFB5F68D613}"/>
                </c:ext>
              </c:extLst>
            </c:dLbl>
            <c:dLbl>
              <c:idx val="2"/>
              <c:layout>
                <c:manualLayout>
                  <c:x val="-1.9996454769481285E-2"/>
                  <c:y val="-2.250322090254372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B9AD33-E156-7448-916F-AF4464DE889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1FB-8A4F-A8DB-9DFB5F68D613}"/>
                </c:ext>
              </c:extLst>
            </c:dLbl>
            <c:dLbl>
              <c:idx val="3"/>
              <c:layout>
                <c:manualLayout>
                  <c:x val="-2.4857484511904532E-2"/>
                  <c:y val="-2.345771730067909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C3CBB6-5AA8-C641-9C8A-0AB2D344E0B2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347075312043382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1FB-8A4F-A8DB-9DFB5F68D613}"/>
                </c:ext>
              </c:extLst>
            </c:dLbl>
            <c:dLbl>
              <c:idx val="4"/>
              <c:layout>
                <c:manualLayout>
                  <c:x val="-2.4999582763689899E-2"/>
                  <c:y val="-1.5387827195699557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6DA819A-BAE0-C24E-94E5-31D7F41A20E7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26731043964796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1FB-8A4F-A8DB-9DFB5F68D613}"/>
                </c:ext>
              </c:extLst>
            </c:dLbl>
            <c:dLbl>
              <c:idx val="5"/>
              <c:layout>
                <c:manualLayout>
                  <c:x val="-3.0567829684439857E-2"/>
                  <c:y val="1.7231033043686964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1FB-8A4F-A8DB-9DFB5F68D613}"/>
                </c:ext>
              </c:extLst>
            </c:dLbl>
            <c:dLbl>
              <c:idx val="6"/>
              <c:layout>
                <c:manualLayout>
                  <c:x val="-8.1437445677924963E-2"/>
                  <c:y val="-1.067069136650078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F33B2FD-BC7D-F84B-A2D1-DA1E7C720F52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063867758862112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1FB-8A4F-A8DB-9DFB5F68D613}"/>
                </c:ext>
              </c:extLst>
            </c:dLbl>
            <c:dLbl>
              <c:idx val="7"/>
              <c:layout>
                <c:manualLayout>
                  <c:x val="-1.6166806916696114E-2"/>
                  <c:y val="-6.269690238733226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1B8F318-E67D-834F-A6C3-F8016BEEEB0D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1FB-8A4F-A8DB-9DFB5F68D613}"/>
                </c:ext>
              </c:extLst>
            </c:dLbl>
            <c:dLbl>
              <c:idx val="8"/>
              <c:layout>
                <c:manualLayout>
                  <c:x val="-4.2702092899763573E-2"/>
                  <c:y val="3.652064209000602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61205-EB39-B548-BE3A-182DB2B3E94A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1FB-8A4F-A8DB-9DFB5F68D613}"/>
                </c:ext>
              </c:extLst>
            </c:dLbl>
            <c:dLbl>
              <c:idx val="9"/>
              <c:layout>
                <c:manualLayout>
                  <c:x val="-5.2747389088464013E-2"/>
                  <c:y val="6.715909745708244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892693F-877D-F640-A9EC-B0A536B9F1D2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1FB-8A4F-A8DB-9DFB5F68D613}"/>
                </c:ext>
              </c:extLst>
            </c:dLbl>
            <c:dLbl>
              <c:idx val="10"/>
              <c:layout>
                <c:manualLayout>
                  <c:x val="1.258378369818388E-3"/>
                  <c:y val="-4.390754518158036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C4235B4-E90A-AC4B-86BE-A1A2F0A02F19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1FB-8A4F-A8DB-9DFB5F68D613}"/>
                </c:ext>
              </c:extLst>
            </c:dLbl>
            <c:dLbl>
              <c:idx val="11"/>
              <c:layout>
                <c:manualLayout>
                  <c:x val="-8.909743240277751E-2"/>
                  <c:y val="0.1121482821898256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ED4BA8-9496-214B-8CB8-5A2AF5295B83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1FB-8A4F-A8DB-9DFB5F68D613}"/>
                </c:ext>
              </c:extLst>
            </c:dLbl>
            <c:dLbl>
              <c:idx val="12"/>
              <c:layout>
                <c:manualLayout>
                  <c:x val="-1.7028974612573355E-2"/>
                  <c:y val="8.4759611768758149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C09453-4058-CB45-9170-029BB8E1D7E3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1FB-8A4F-A8DB-9DFB5F68D613}"/>
                </c:ext>
              </c:extLst>
            </c:dLbl>
            <c:dLbl>
              <c:idx val="13"/>
              <c:layout>
                <c:manualLayout>
                  <c:x val="-6.564929866198424E-2"/>
                  <c:y val="3.426246245743154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8D1150-3A8C-2F43-A369-B2C34F348B33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1FB-8A4F-A8DB-9DFB5F68D613}"/>
                </c:ext>
              </c:extLst>
            </c:dLbl>
            <c:dLbl>
              <c:idx val="14"/>
              <c:layout>
                <c:manualLayout>
                  <c:x val="-2.5349623415394186E-2"/>
                  <c:y val="4.061217704653820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E9B0757-24A6-524F-9543-11CB6C4E945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8560478311092444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1FB-8A4F-A8DB-9DFB5F68D613}"/>
                </c:ext>
              </c:extLst>
            </c:dLbl>
            <c:dLbl>
              <c:idx val="15"/>
              <c:layout>
                <c:manualLayout>
                  <c:x val="-3.9767945619868593E-2"/>
                  <c:y val="3.836180486533106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A44FD38-E47E-CC46-BCF6-A85BF67971A9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3804711807985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1FB-8A4F-A8DB-9DFB5F68D613}"/>
                </c:ext>
              </c:extLst>
            </c:dLbl>
            <c:dLbl>
              <c:idx val="16"/>
              <c:layout>
                <c:manualLayout>
                  <c:x val="-6.4573907751758947E-2"/>
                  <c:y val="-1.56428121365971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237F7DF-56A7-AD43-A37B-43FB2F7C40D8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2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7977663993853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1FB-8A4F-A8DB-9DFB5F68D613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2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'Matrix Chart'!$D$2:$D$18</c:f>
              <c:numCache>
                <c:formatCode>0</c:formatCode>
                <c:ptCount val="17"/>
                <c:pt idx="0">
                  <c:v>-335379</c:v>
                </c:pt>
                <c:pt idx="1">
                  <c:v>-43666</c:v>
                </c:pt>
                <c:pt idx="2">
                  <c:v>163782.5</c:v>
                </c:pt>
                <c:pt idx="3">
                  <c:v>89690</c:v>
                </c:pt>
                <c:pt idx="4">
                  <c:v>-250639.5</c:v>
                </c:pt>
                <c:pt idx="5">
                  <c:v>98052</c:v>
                </c:pt>
                <c:pt idx="6">
                  <c:v>-60771.5</c:v>
                </c:pt>
                <c:pt idx="7">
                  <c:v>182249</c:v>
                </c:pt>
                <c:pt idx="8">
                  <c:v>-38023.5</c:v>
                </c:pt>
                <c:pt idx="9">
                  <c:v>-40765.5</c:v>
                </c:pt>
                <c:pt idx="10">
                  <c:v>0</c:v>
                </c:pt>
                <c:pt idx="11">
                  <c:v>-90803.5</c:v>
                </c:pt>
                <c:pt idx="12">
                  <c:v>62234</c:v>
                </c:pt>
                <c:pt idx="13">
                  <c:v>-120246.5</c:v>
                </c:pt>
                <c:pt idx="14">
                  <c:v>284155</c:v>
                </c:pt>
                <c:pt idx="15">
                  <c:v>48509.5</c:v>
                </c:pt>
                <c:pt idx="16">
                  <c:v>252176</c:v>
                </c:pt>
              </c:numCache>
            </c:numRef>
          </c:xVal>
          <c:yVal>
            <c:numRef>
              <c:f>'Matrix Chart'!$E$2:$E$18</c:f>
              <c:numCache>
                <c:formatCode>0%</c:formatCode>
                <c:ptCount val="17"/>
                <c:pt idx="0">
                  <c:v>4.049999999999998E-3</c:v>
                </c:pt>
                <c:pt idx="1">
                  <c:v>2.9124999999999956E-2</c:v>
                </c:pt>
                <c:pt idx="2">
                  <c:v>4.7125000000000083E-2</c:v>
                </c:pt>
                <c:pt idx="3">
                  <c:v>6.3474999999999948E-2</c:v>
                </c:pt>
                <c:pt idx="4">
                  <c:v>4.3749999999999956E-2</c:v>
                </c:pt>
                <c:pt idx="5">
                  <c:v>4.1274999999999951E-2</c:v>
                </c:pt>
                <c:pt idx="6">
                  <c:v>2.7725000000000111E-2</c:v>
                </c:pt>
                <c:pt idx="7">
                  <c:v>1.6450000000000076E-2</c:v>
                </c:pt>
                <c:pt idx="8">
                  <c:v>-1.5250000000000097E-2</c:v>
                </c:pt>
                <c:pt idx="9">
                  <c:v>-4.3500000000000094E-2</c:v>
                </c:pt>
                <c:pt idx="10">
                  <c:v>0</c:v>
                </c:pt>
                <c:pt idx="11">
                  <c:v>-2.849999999999997E-2</c:v>
                </c:pt>
                <c:pt idx="12">
                  <c:v>-2.9775000000000107E-2</c:v>
                </c:pt>
                <c:pt idx="13">
                  <c:v>-1.3174999999999937E-2</c:v>
                </c:pt>
                <c:pt idx="14">
                  <c:v>-1.6375000000000028E-2</c:v>
                </c:pt>
                <c:pt idx="15">
                  <c:v>-5.4449999999999887E-2</c:v>
                </c:pt>
                <c:pt idx="16">
                  <c:v>-0.28789999999999999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'Matrix Chart'!$A$2:$A$18</c15:f>
                <c15:dlblRangeCache>
                  <c:ptCount val="17"/>
                  <c:pt idx="0">
                    <c:v>CAR</c:v>
                  </c:pt>
                  <c:pt idx="1">
                    <c:v>NCR</c:v>
                  </c:pt>
                  <c:pt idx="2">
                    <c:v>IV-A</c:v>
                  </c:pt>
                  <c:pt idx="3">
                    <c:v>III</c:v>
                  </c:pt>
                  <c:pt idx="4">
                    <c:v>II</c:v>
                  </c:pt>
                  <c:pt idx="5">
                    <c:v>VII</c:v>
                  </c:pt>
                  <c:pt idx="6">
                    <c:v>I</c:v>
                  </c:pt>
                  <c:pt idx="7">
                    <c:v>VI</c:v>
                  </c:pt>
                  <c:pt idx="8">
                    <c:v>XI</c:v>
                  </c:pt>
                  <c:pt idx="9">
                    <c:v>XII</c:v>
                  </c:pt>
                  <c:pt idx="10">
                    <c:v>X</c:v>
                  </c:pt>
                  <c:pt idx="11">
                    <c:v>IV-B</c:v>
                  </c:pt>
                  <c:pt idx="12">
                    <c:v>VIII</c:v>
                  </c:pt>
                  <c:pt idx="13">
                    <c:v>XIII</c:v>
                  </c:pt>
                  <c:pt idx="14">
                    <c:v>V</c:v>
                  </c:pt>
                  <c:pt idx="15">
                    <c:v>IX</c:v>
                  </c:pt>
                  <c:pt idx="16">
                    <c:v>BARMM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1FB-8A4F-A8DB-9DFB5F68D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11543</xdr:colOff>
      <xdr:row>0</xdr:row>
      <xdr:rowOff>0</xdr:rowOff>
    </xdr:from>
    <xdr:to>
      <xdr:col>16</xdr:col>
      <xdr:colOff>831272</xdr:colOff>
      <xdr:row>27</xdr:row>
      <xdr:rowOff>61193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577D0-BE4E-614C-B76F-9751703E3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768350</xdr:colOff>
      <xdr:row>10</xdr:row>
      <xdr:rowOff>95250</xdr:rowOff>
    </xdr:from>
    <xdr:to>
      <xdr:col>12</xdr:col>
      <xdr:colOff>774700</xdr:colOff>
      <xdr:row>41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090A0-2F1E-CE64-AE27-20CDDC892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11544</xdr:colOff>
      <xdr:row>1</xdr:row>
      <xdr:rowOff>8081</xdr:rowOff>
    </xdr:from>
    <xdr:to>
      <xdr:col>19</xdr:col>
      <xdr:colOff>0</xdr:colOff>
      <xdr:row>28</xdr:row>
      <xdr:rowOff>69274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B1A06-1768-4E73-4192-384AE4060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0</xdr:row>
      <xdr:rowOff>190500</xdr:rowOff>
    </xdr:from>
    <xdr:to>
      <xdr:col>20</xdr:col>
      <xdr:colOff>101600</xdr:colOff>
      <xdr:row>26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8206C4-01F7-92A5-5412-9382C2965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17</xdr:col>
      <xdr:colOff>51956</xdr:colOff>
      <xdr:row>55</xdr:row>
      <xdr:rowOff>185884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08FE8-3F7F-B247-98A7-23A2EAC85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</xdr:row>
      <xdr:rowOff>107950</xdr:rowOff>
    </xdr:from>
    <xdr:to>
      <xdr:col>20</xdr:col>
      <xdr:colOff>736600</xdr:colOff>
      <xdr:row>26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792BC-E79A-8FB6-B8A2-A5471BDB8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</xdr:row>
      <xdr:rowOff>88900</xdr:rowOff>
    </xdr:from>
    <xdr:to>
      <xdr:col>19</xdr:col>
      <xdr:colOff>812800</xdr:colOff>
      <xdr:row>36</xdr:row>
      <xdr:rowOff>23093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6CD3A-4DE3-504A-BB8D-17BCEF418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6351</xdr:colOff>
      <xdr:row>0</xdr:row>
      <xdr:rowOff>196851</xdr:rowOff>
    </xdr:from>
    <xdr:to>
      <xdr:col>16</xdr:col>
      <xdr:colOff>364788</xdr:colOff>
      <xdr:row>29</xdr:row>
      <xdr:rowOff>108086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51941-3522-8086-8D3B-08AEA725C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 Corsado" refreshedDate="45972.902595833337" createdVersion="8" refreshedVersion="8" minRefreshableVersion="3" recordCount="102" xr:uid="{275FE540-FD19-B84D-9EBD-40966841BFD9}">
  <cacheSource type="worksheet">
    <worksheetSource ref="A1:E103" sheet="Public and Private Schools 2021"/>
  </cacheSource>
  <cacheFields count="5">
    <cacheField name="Region" numFmtId="0">
      <sharedItems count="17">
        <s v="NCR"/>
        <s v="CAR"/>
        <s v="I"/>
        <s v="II"/>
        <s v="III"/>
        <s v="IV-A"/>
        <s v="IV-B"/>
        <s v="V"/>
        <s v="VI"/>
        <s v="VII"/>
        <s v="VIII"/>
        <s v="IX"/>
        <s v="X"/>
        <s v="XI"/>
        <s v="XII"/>
        <s v="XIII"/>
        <s v="BARMM"/>
      </sharedItems>
    </cacheField>
    <cacheField name="# of Schools" numFmtId="0">
      <sharedItems containsSemiMixedTypes="0" containsString="0" containsNumber="1" containsInteger="1" minValue="71" maxValue="3648"/>
    </cacheField>
    <cacheField name="Type" numFmtId="0">
      <sharedItems count="2">
        <s v="Public"/>
        <s v="Private"/>
      </sharedItems>
    </cacheField>
    <cacheField name="Level" numFmtId="0">
      <sharedItems count="3">
        <s v="Elementary"/>
        <s v="JHS"/>
        <s v="SHS"/>
      </sharedItems>
    </cacheField>
    <cacheField name="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n Corsado" refreshedDate="45978.463292939814" refreshedVersion="8" recordCount="264" xr:uid="{00000000-000A-0000-FFFF-FFFF00000000}">
  <cacheSource type="worksheet">
    <worksheetSource ref="A1:F265" sheet="4Ps Children Count"/>
  </cacheSource>
  <cacheFields count="6">
    <cacheField name="Region" numFmtId="0">
      <sharedItems count="17">
        <s v="NCR"/>
        <s v="CAR"/>
        <s v="I"/>
        <s v="II"/>
        <s v="III"/>
        <s v="IV-A"/>
        <s v="MIMAROPA"/>
        <s v="V"/>
        <s v="VI"/>
        <s v="VII"/>
        <s v="VIII"/>
        <s v="IX"/>
        <s v="X"/>
        <s v="XI"/>
        <s v="XII"/>
        <s v="XIII"/>
        <s v="BARMM"/>
      </sharedItems>
    </cacheField>
    <cacheField name="Age" numFmtId="49">
      <sharedItems count="4">
        <s v="0-2"/>
        <s v="3-5"/>
        <s v="6-14"/>
        <s v="15-18"/>
      </sharedItems>
    </cacheField>
    <cacheField name="Total" numFmtId="0">
      <sharedItems containsSemiMixedTypes="0" containsString="0" containsNumber="1" containsInteger="1" minValue="498" maxValue="390854"/>
    </cacheField>
    <cacheField name="Island" numFmtId="0">
      <sharedItems/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2020" maxValue="2020" count="1">
        <n v="20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arian Corsado" refreshedDate="45978.463293055553" refreshedVersion="8" recordCount="1326" xr:uid="{00000000-000A-0000-FFFF-FFFF02000000}">
  <cacheSource type="worksheet">
    <worksheetSource ref="A1:E1327" sheet="Enrollment Count"/>
  </cacheSource>
  <cacheFields count="5">
    <cacheField name="Region" numFmtId="0">
      <sharedItems count="17">
        <s v="NCR"/>
        <s v="CAR"/>
        <s v="I"/>
        <s v="II"/>
        <s v="III"/>
        <s v="IV-A"/>
        <s v="MIMAROPA"/>
        <s v="V"/>
        <s v="VI"/>
        <s v="VII"/>
        <s v="VIII"/>
        <s v="IX"/>
        <s v="X"/>
        <s v="XI"/>
        <s v="XII"/>
        <s v="XIII"/>
        <s v="BARMM"/>
      </sharedItems>
    </cacheField>
    <cacheField name="Enrollees Number" numFmtId="0">
      <sharedItems containsSemiMixedTypes="0" containsString="0" containsNumber="1" containsInteger="1" minValue="8673" maxValue="180652"/>
    </cacheField>
    <cacheField name="Level" numFmtId="0">
      <sharedItems count="13">
        <s v="Kindergarten"/>
        <s v="Grade 1"/>
        <s v="Grade 2"/>
        <s v="Grade 3"/>
        <s v="Grade 4"/>
        <s v="Grade 5"/>
        <s v="Grade 6"/>
        <s v="Grade 7"/>
        <s v="Grade 8"/>
        <s v="Grade 9"/>
        <s v="Grade 10"/>
        <s v="Grade 11"/>
        <s v="Grade 12"/>
      </sharedItems>
    </cacheField>
    <cacheField name="Gender" numFmtId="0">
      <sharedItems/>
    </cacheField>
    <cacheField name="Year" numFmtId="0">
      <sharedItems count="3">
        <s v="2018-2019"/>
        <s v="2019-2020"/>
        <s v="2020-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n v="519"/>
    <x v="0"/>
    <x v="0"/>
    <s v="2020-2021 only"/>
  </r>
  <r>
    <x v="1"/>
    <n v="1541"/>
    <x v="0"/>
    <x v="0"/>
    <s v="2020-2021 only"/>
  </r>
  <r>
    <x v="2"/>
    <n v="2417"/>
    <x v="0"/>
    <x v="0"/>
    <s v="2020-2021 only"/>
  </r>
  <r>
    <x v="3"/>
    <n v="2213"/>
    <x v="0"/>
    <x v="0"/>
    <s v="2020-2021 only"/>
  </r>
  <r>
    <x v="4"/>
    <n v="3022"/>
    <x v="0"/>
    <x v="0"/>
    <s v="2020-2021 only"/>
  </r>
  <r>
    <x v="5"/>
    <n v="2755"/>
    <x v="0"/>
    <x v="0"/>
    <s v="2020-2021 only"/>
  </r>
  <r>
    <x v="6"/>
    <n v="1905"/>
    <x v="0"/>
    <x v="0"/>
    <s v="2020-2021 only"/>
  </r>
  <r>
    <x v="7"/>
    <n v="3161"/>
    <x v="0"/>
    <x v="0"/>
    <s v="2020-2021 only"/>
  </r>
  <r>
    <x v="8"/>
    <n v="3413"/>
    <x v="0"/>
    <x v="0"/>
    <s v="2020-2021 only"/>
  </r>
  <r>
    <x v="9"/>
    <n v="2948"/>
    <x v="0"/>
    <x v="0"/>
    <s v="2020-2021 only"/>
  </r>
  <r>
    <x v="10"/>
    <n v="3648"/>
    <x v="0"/>
    <x v="0"/>
    <s v="2020-2021 only"/>
  </r>
  <r>
    <x v="11"/>
    <n v="2128"/>
    <x v="0"/>
    <x v="0"/>
    <s v="2020-2021 only"/>
  </r>
  <r>
    <x v="12"/>
    <n v="2161"/>
    <x v="0"/>
    <x v="0"/>
    <s v="2020-2021 only"/>
  </r>
  <r>
    <x v="13"/>
    <n v="1736"/>
    <x v="0"/>
    <x v="0"/>
    <s v="2020-2021 only"/>
  </r>
  <r>
    <x v="14"/>
    <n v="1827"/>
    <x v="0"/>
    <x v="0"/>
    <s v="2020-2021 only"/>
  </r>
  <r>
    <x v="15"/>
    <n v="1706"/>
    <x v="0"/>
    <x v="0"/>
    <s v="2020-2021 only"/>
  </r>
  <r>
    <x v="16"/>
    <n v="2135"/>
    <x v="0"/>
    <x v="0"/>
    <s v="2020-2021 only"/>
  </r>
  <r>
    <x v="0"/>
    <n v="1947"/>
    <x v="1"/>
    <x v="0"/>
    <s v="2020-2021 only"/>
  </r>
  <r>
    <x v="1"/>
    <n v="181"/>
    <x v="1"/>
    <x v="0"/>
    <s v="2020-2021 only"/>
  </r>
  <r>
    <x v="2"/>
    <n v="447"/>
    <x v="1"/>
    <x v="0"/>
    <s v="2020-2021 only"/>
  </r>
  <r>
    <x v="3"/>
    <n v="347"/>
    <x v="1"/>
    <x v="0"/>
    <s v="2020-2021 only"/>
  </r>
  <r>
    <x v="4"/>
    <n v="1320"/>
    <x v="1"/>
    <x v="0"/>
    <s v="2020-2021 only"/>
  </r>
  <r>
    <x v="5"/>
    <n v="2409"/>
    <x v="1"/>
    <x v="0"/>
    <s v="2020-2021 only"/>
  </r>
  <r>
    <x v="6"/>
    <n v="220"/>
    <x v="1"/>
    <x v="0"/>
    <s v="2020-2021 only"/>
  </r>
  <r>
    <x v="7"/>
    <n v="436"/>
    <x v="1"/>
    <x v="0"/>
    <s v="2020-2021 only"/>
  </r>
  <r>
    <x v="8"/>
    <n v="905"/>
    <x v="1"/>
    <x v="0"/>
    <s v="2020-2021 only"/>
  </r>
  <r>
    <x v="9"/>
    <n v="743"/>
    <x v="1"/>
    <x v="0"/>
    <s v="2020-2021 only"/>
  </r>
  <r>
    <x v="10"/>
    <n v="207"/>
    <x v="1"/>
    <x v="0"/>
    <s v="2020-2021 only"/>
  </r>
  <r>
    <x v="11"/>
    <n v="208"/>
    <x v="1"/>
    <x v="0"/>
    <s v="2020-2021 only"/>
  </r>
  <r>
    <x v="12"/>
    <n v="451"/>
    <x v="1"/>
    <x v="0"/>
    <s v="2020-2021 only"/>
  </r>
  <r>
    <x v="13"/>
    <n v="444"/>
    <x v="1"/>
    <x v="0"/>
    <s v="2020-2021 only"/>
  </r>
  <r>
    <x v="14"/>
    <n v="321"/>
    <x v="1"/>
    <x v="0"/>
    <s v="2020-2021 only"/>
  </r>
  <r>
    <x v="15"/>
    <n v="234"/>
    <x v="1"/>
    <x v="0"/>
    <s v="2020-2021 only"/>
  </r>
  <r>
    <x v="16"/>
    <n v="189"/>
    <x v="1"/>
    <x v="0"/>
    <s v="2020-2021 only"/>
  </r>
  <r>
    <x v="0"/>
    <n v="288"/>
    <x v="0"/>
    <x v="1"/>
    <s v="2020-2021 only"/>
  </r>
  <r>
    <x v="1"/>
    <n v="333"/>
    <x v="0"/>
    <x v="1"/>
    <s v="2020-2021 only"/>
  </r>
  <r>
    <x v="2"/>
    <n v="583"/>
    <x v="0"/>
    <x v="1"/>
    <s v="2020-2021 only"/>
  </r>
  <r>
    <x v="3"/>
    <n v="468"/>
    <x v="0"/>
    <x v="1"/>
    <s v="2020-2021 only"/>
  </r>
  <r>
    <x v="4"/>
    <n v="809"/>
    <x v="0"/>
    <x v="1"/>
    <s v="2020-2021 only"/>
  </r>
  <r>
    <x v="5"/>
    <n v="770"/>
    <x v="0"/>
    <x v="1"/>
    <s v="2020-2021 only"/>
  </r>
  <r>
    <x v="6"/>
    <n v="469"/>
    <x v="0"/>
    <x v="1"/>
    <s v="2020-2021 only"/>
  </r>
  <r>
    <x v="7"/>
    <n v="736"/>
    <x v="0"/>
    <x v="1"/>
    <s v="2020-2021 only"/>
  </r>
  <r>
    <x v="8"/>
    <n v="815"/>
    <x v="0"/>
    <x v="1"/>
    <s v="2020-2021 only"/>
  </r>
  <r>
    <x v="9"/>
    <n v="941"/>
    <x v="0"/>
    <x v="1"/>
    <s v="2020-2021 only"/>
  </r>
  <r>
    <x v="10"/>
    <n v="600"/>
    <x v="0"/>
    <x v="1"/>
    <s v="2020-2021 only"/>
  </r>
  <r>
    <x v="11"/>
    <n v="433"/>
    <x v="0"/>
    <x v="1"/>
    <s v="2020-2021 only"/>
  </r>
  <r>
    <x v="12"/>
    <n v="583"/>
    <x v="0"/>
    <x v="1"/>
    <s v="2020-2021 only"/>
  </r>
  <r>
    <x v="13"/>
    <n v="576"/>
    <x v="0"/>
    <x v="1"/>
    <s v="2020-2021 only"/>
  </r>
  <r>
    <x v="14"/>
    <n v="628"/>
    <x v="0"/>
    <x v="1"/>
    <s v="2020-2021 only"/>
  </r>
  <r>
    <x v="15"/>
    <n v="473"/>
    <x v="0"/>
    <x v="1"/>
    <s v="2020-2021 only"/>
  </r>
  <r>
    <x v="16"/>
    <n v="357"/>
    <x v="0"/>
    <x v="1"/>
    <s v="2020-2021 only"/>
  </r>
  <r>
    <x v="0"/>
    <n v="927"/>
    <x v="1"/>
    <x v="1"/>
    <s v="2020-2021 only"/>
  </r>
  <r>
    <x v="1"/>
    <n v="136"/>
    <x v="1"/>
    <x v="1"/>
    <s v="2020-2021 only"/>
  </r>
  <r>
    <x v="2"/>
    <n v="306"/>
    <x v="1"/>
    <x v="1"/>
    <s v="2020-2021 only"/>
  </r>
  <r>
    <x v="3"/>
    <n v="151"/>
    <x v="1"/>
    <x v="1"/>
    <s v="2020-2021 only"/>
  </r>
  <r>
    <x v="4"/>
    <n v="745"/>
    <x v="1"/>
    <x v="1"/>
    <s v="2020-2021 only"/>
  </r>
  <r>
    <x v="5"/>
    <n v="1312"/>
    <x v="1"/>
    <x v="1"/>
    <s v="2020-2021 only"/>
  </r>
  <r>
    <x v="6"/>
    <n v="126"/>
    <x v="1"/>
    <x v="1"/>
    <s v="2020-2021 only"/>
  </r>
  <r>
    <x v="7"/>
    <n v="220"/>
    <x v="1"/>
    <x v="1"/>
    <s v="2020-2021 only"/>
  </r>
  <r>
    <x v="8"/>
    <n v="341"/>
    <x v="1"/>
    <x v="1"/>
    <s v="2020-2021 only"/>
  </r>
  <r>
    <x v="9"/>
    <n v="482"/>
    <x v="1"/>
    <x v="1"/>
    <s v="2020-2021 only"/>
  </r>
  <r>
    <x v="10"/>
    <n v="125"/>
    <x v="1"/>
    <x v="1"/>
    <s v="2020-2021 only"/>
  </r>
  <r>
    <x v="11"/>
    <n v="112"/>
    <x v="1"/>
    <x v="1"/>
    <s v="2020-2021 only"/>
  </r>
  <r>
    <x v="12"/>
    <n v="277"/>
    <x v="1"/>
    <x v="1"/>
    <s v="2020-2021 only"/>
  </r>
  <r>
    <x v="13"/>
    <n v="241"/>
    <x v="1"/>
    <x v="1"/>
    <s v="2020-2021 only"/>
  </r>
  <r>
    <x v="14"/>
    <n v="195"/>
    <x v="1"/>
    <x v="1"/>
    <s v="2020-2021 only"/>
  </r>
  <r>
    <x v="15"/>
    <n v="97"/>
    <x v="1"/>
    <x v="1"/>
    <s v="2020-2021 only"/>
  </r>
  <r>
    <x v="16"/>
    <n v="101"/>
    <x v="1"/>
    <x v="1"/>
    <s v="2020-2021 only"/>
  </r>
  <r>
    <x v="0"/>
    <n v="238"/>
    <x v="0"/>
    <x v="2"/>
    <s v="2020-2021 only"/>
  </r>
  <r>
    <x v="1"/>
    <n v="232"/>
    <x v="0"/>
    <x v="2"/>
    <s v="2020-2021 only"/>
  </r>
  <r>
    <x v="2"/>
    <n v="552"/>
    <x v="0"/>
    <x v="2"/>
    <s v="2020-2021 only"/>
  </r>
  <r>
    <x v="3"/>
    <n v="341"/>
    <x v="0"/>
    <x v="2"/>
    <s v="2020-2021 only"/>
  </r>
  <r>
    <x v="4"/>
    <n v="603"/>
    <x v="0"/>
    <x v="2"/>
    <s v="2020-2021 only"/>
  </r>
  <r>
    <x v="5"/>
    <n v="524"/>
    <x v="0"/>
    <x v="2"/>
    <s v="2020-2021 only"/>
  </r>
  <r>
    <x v="6"/>
    <n v="288"/>
    <x v="0"/>
    <x v="2"/>
    <s v="2020-2021 only"/>
  </r>
  <r>
    <x v="7"/>
    <n v="685"/>
    <x v="0"/>
    <x v="2"/>
    <s v="2020-2021 only"/>
  </r>
  <r>
    <x v="8"/>
    <n v="663"/>
    <x v="0"/>
    <x v="2"/>
    <s v="2020-2021 only"/>
  </r>
  <r>
    <x v="9"/>
    <n v="766"/>
    <x v="0"/>
    <x v="2"/>
    <s v="2020-2021 only"/>
  </r>
  <r>
    <x v="10"/>
    <n v="442"/>
    <x v="0"/>
    <x v="2"/>
    <s v="2020-2021 only"/>
  </r>
  <r>
    <x v="11"/>
    <n v="360"/>
    <x v="0"/>
    <x v="2"/>
    <s v="2020-2021 only"/>
  </r>
  <r>
    <x v="12"/>
    <n v="360"/>
    <x v="0"/>
    <x v="2"/>
    <s v="2020-2021 only"/>
  </r>
  <r>
    <x v="13"/>
    <n v="368"/>
    <x v="0"/>
    <x v="2"/>
    <s v="2020-2021 only"/>
  </r>
  <r>
    <x v="14"/>
    <n v="404"/>
    <x v="0"/>
    <x v="2"/>
    <s v="2020-2021 only"/>
  </r>
  <r>
    <x v="15"/>
    <n v="399"/>
    <x v="0"/>
    <x v="2"/>
    <s v="2020-2021 only"/>
  </r>
  <r>
    <x v="16"/>
    <n v="230"/>
    <x v="0"/>
    <x v="2"/>
    <s v="2020-2021 only"/>
  </r>
  <r>
    <x v="0"/>
    <n v="766"/>
    <x v="1"/>
    <x v="2"/>
    <s v="2020-2021 only"/>
  </r>
  <r>
    <x v="1"/>
    <n v="109"/>
    <x v="1"/>
    <x v="2"/>
    <s v="2020-2021 only"/>
  </r>
  <r>
    <x v="2"/>
    <n v="244"/>
    <x v="1"/>
    <x v="2"/>
    <s v="2020-2021 only"/>
  </r>
  <r>
    <x v="3"/>
    <n v="143"/>
    <x v="1"/>
    <x v="2"/>
    <s v="2020-2021 only"/>
  </r>
  <r>
    <x v="4"/>
    <n v="637"/>
    <x v="1"/>
    <x v="2"/>
    <s v="2020-2021 only"/>
  </r>
  <r>
    <x v="5"/>
    <n v="919"/>
    <x v="1"/>
    <x v="2"/>
    <s v="2020-2021 only"/>
  </r>
  <r>
    <x v="6"/>
    <n v="107"/>
    <x v="1"/>
    <x v="2"/>
    <s v="2020-2021 only"/>
  </r>
  <r>
    <x v="7"/>
    <n v="251"/>
    <x v="1"/>
    <x v="2"/>
    <s v="2020-2021 only"/>
  </r>
  <r>
    <x v="8"/>
    <n v="257"/>
    <x v="1"/>
    <x v="2"/>
    <s v="2020-2021 only"/>
  </r>
  <r>
    <x v="9"/>
    <n v="369"/>
    <x v="1"/>
    <x v="2"/>
    <s v="2020-2021 only"/>
  </r>
  <r>
    <x v="10"/>
    <n v="119"/>
    <x v="1"/>
    <x v="2"/>
    <s v="2020-2021 only"/>
  </r>
  <r>
    <x v="11"/>
    <n v="131"/>
    <x v="1"/>
    <x v="2"/>
    <s v="2020-2021 only"/>
  </r>
  <r>
    <x v="12"/>
    <n v="246"/>
    <x v="1"/>
    <x v="2"/>
    <s v="2020-2021 only"/>
  </r>
  <r>
    <x v="13"/>
    <n v="227"/>
    <x v="1"/>
    <x v="2"/>
    <s v="2020-2021 only"/>
  </r>
  <r>
    <x v="14"/>
    <n v="178"/>
    <x v="1"/>
    <x v="2"/>
    <s v="2020-2021 only"/>
  </r>
  <r>
    <x v="15"/>
    <n v="87"/>
    <x v="1"/>
    <x v="2"/>
    <s v="2020-2021 only"/>
  </r>
  <r>
    <x v="16"/>
    <n v="71"/>
    <x v="1"/>
    <x v="2"/>
    <s v="2020-2021 onl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x v="0"/>
    <n v="2616"/>
    <s v="Luzon"/>
    <x v="0"/>
    <x v="0"/>
  </r>
  <r>
    <x v="0"/>
    <x v="1"/>
    <n v="7713"/>
    <s v="Luzon"/>
    <x v="0"/>
    <x v="0"/>
  </r>
  <r>
    <x v="0"/>
    <x v="2"/>
    <n v="216848"/>
    <s v="Luzon"/>
    <x v="0"/>
    <x v="0"/>
  </r>
  <r>
    <x v="0"/>
    <x v="3"/>
    <n v="170234"/>
    <s v="Luzon"/>
    <x v="0"/>
    <x v="0"/>
  </r>
  <r>
    <x v="1"/>
    <x v="0"/>
    <n v="1531"/>
    <s v="Luzon"/>
    <x v="0"/>
    <x v="0"/>
  </r>
  <r>
    <x v="1"/>
    <x v="1"/>
    <n v="4721"/>
    <s v="Luzon"/>
    <x v="0"/>
    <x v="0"/>
  </r>
  <r>
    <x v="1"/>
    <x v="2"/>
    <n v="53543"/>
    <s v="Luzon"/>
    <x v="0"/>
    <x v="0"/>
  </r>
  <r>
    <x v="1"/>
    <x v="3"/>
    <n v="50005"/>
    <s v="Luzon"/>
    <x v="0"/>
    <x v="0"/>
  </r>
  <r>
    <x v="2"/>
    <x v="0"/>
    <n v="5484"/>
    <s v="Luzon"/>
    <x v="0"/>
    <x v="0"/>
  </r>
  <r>
    <x v="2"/>
    <x v="1"/>
    <n v="18833"/>
    <s v="Luzon"/>
    <x v="0"/>
    <x v="0"/>
  </r>
  <r>
    <x v="2"/>
    <x v="2"/>
    <n v="209712"/>
    <s v="Luzon"/>
    <x v="0"/>
    <x v="0"/>
  </r>
  <r>
    <x v="2"/>
    <x v="3"/>
    <n v="156833"/>
    <s v="Luzon"/>
    <x v="0"/>
    <x v="0"/>
  </r>
  <r>
    <x v="3"/>
    <x v="0"/>
    <n v="2029"/>
    <s v="Luzon"/>
    <x v="0"/>
    <x v="0"/>
  </r>
  <r>
    <x v="3"/>
    <x v="1"/>
    <n v="7106"/>
    <s v="Luzon"/>
    <x v="0"/>
    <x v="0"/>
  </r>
  <r>
    <x v="3"/>
    <x v="2"/>
    <n v="103150"/>
    <s v="Luzon"/>
    <x v="0"/>
    <x v="0"/>
  </r>
  <r>
    <x v="3"/>
    <x v="3"/>
    <n v="80161"/>
    <s v="Luzon"/>
    <x v="0"/>
    <x v="0"/>
  </r>
  <r>
    <x v="4"/>
    <x v="0"/>
    <n v="2969"/>
    <s v="Luzon"/>
    <x v="0"/>
    <x v="0"/>
  </r>
  <r>
    <x v="4"/>
    <x v="1"/>
    <n v="11921"/>
    <s v="Luzon"/>
    <x v="0"/>
    <x v="0"/>
  </r>
  <r>
    <x v="4"/>
    <x v="2"/>
    <n v="294622"/>
    <s v="Luzon"/>
    <x v="0"/>
    <x v="0"/>
  </r>
  <r>
    <x v="4"/>
    <x v="3"/>
    <n v="226244"/>
    <s v="Luzon"/>
    <x v="0"/>
    <x v="0"/>
  </r>
  <r>
    <x v="5"/>
    <x v="0"/>
    <n v="6029"/>
    <s v="Luzon"/>
    <x v="0"/>
    <x v="0"/>
  </r>
  <r>
    <x v="5"/>
    <x v="1"/>
    <n v="19467"/>
    <s v="Luzon"/>
    <x v="0"/>
    <x v="0"/>
  </r>
  <r>
    <x v="5"/>
    <x v="2"/>
    <n v="326299"/>
    <s v="Luzon"/>
    <x v="0"/>
    <x v="0"/>
  </r>
  <r>
    <x v="5"/>
    <x v="3"/>
    <n v="256287"/>
    <s v="Luzon"/>
    <x v="0"/>
    <x v="0"/>
  </r>
  <r>
    <x v="6"/>
    <x v="0"/>
    <n v="5734"/>
    <s v="Luzon"/>
    <x v="0"/>
    <x v="0"/>
  </r>
  <r>
    <x v="6"/>
    <x v="1"/>
    <n v="19927"/>
    <s v="Luzon"/>
    <x v="0"/>
    <x v="0"/>
  </r>
  <r>
    <x v="6"/>
    <x v="2"/>
    <n v="181815"/>
    <s v="Luzon"/>
    <x v="0"/>
    <x v="0"/>
  </r>
  <r>
    <x v="6"/>
    <x v="3"/>
    <n v="151680"/>
    <s v="Luzon"/>
    <x v="0"/>
    <x v="0"/>
  </r>
  <r>
    <x v="7"/>
    <x v="0"/>
    <n v="4945"/>
    <s v="Luzon"/>
    <x v="0"/>
    <x v="0"/>
  </r>
  <r>
    <x v="7"/>
    <x v="1"/>
    <n v="16623"/>
    <s v="Luzon"/>
    <x v="0"/>
    <x v="0"/>
  </r>
  <r>
    <x v="7"/>
    <x v="2"/>
    <n v="375497"/>
    <s v="Luzon"/>
    <x v="0"/>
    <x v="0"/>
  </r>
  <r>
    <x v="7"/>
    <x v="3"/>
    <n v="330983"/>
    <s v="Luzon"/>
    <x v="0"/>
    <x v="0"/>
  </r>
  <r>
    <x v="8"/>
    <x v="0"/>
    <n v="7622"/>
    <s v="Visayas"/>
    <x v="0"/>
    <x v="0"/>
  </r>
  <r>
    <x v="8"/>
    <x v="1"/>
    <n v="21727"/>
    <s v="Visayas"/>
    <x v="0"/>
    <x v="0"/>
  </r>
  <r>
    <x v="8"/>
    <x v="2"/>
    <n v="334834"/>
    <s v="Visayas"/>
    <x v="0"/>
    <x v="0"/>
  </r>
  <r>
    <x v="8"/>
    <x v="3"/>
    <n v="273922"/>
    <s v="Visayas"/>
    <x v="0"/>
    <x v="0"/>
  </r>
  <r>
    <x v="9"/>
    <x v="0"/>
    <n v="4253"/>
    <s v="Visayas"/>
    <x v="0"/>
    <x v="0"/>
  </r>
  <r>
    <x v="9"/>
    <x v="1"/>
    <n v="19965"/>
    <s v="Visayas"/>
    <x v="0"/>
    <x v="0"/>
  </r>
  <r>
    <x v="9"/>
    <x v="2"/>
    <n v="290644"/>
    <s v="Visayas"/>
    <x v="0"/>
    <x v="0"/>
  </r>
  <r>
    <x v="9"/>
    <x v="3"/>
    <n v="231755"/>
    <s v="Visayas"/>
    <x v="0"/>
    <x v="0"/>
  </r>
  <r>
    <x v="10"/>
    <x v="0"/>
    <n v="3677"/>
    <s v="Visayas"/>
    <x v="0"/>
    <x v="0"/>
  </r>
  <r>
    <x v="10"/>
    <x v="1"/>
    <n v="15972"/>
    <s v="Visayas"/>
    <x v="0"/>
    <x v="0"/>
  </r>
  <r>
    <x v="10"/>
    <x v="2"/>
    <n v="268345"/>
    <s v="Visayas"/>
    <x v="0"/>
    <x v="0"/>
  </r>
  <r>
    <x v="10"/>
    <x v="3"/>
    <n v="230993"/>
    <s v="Visayas"/>
    <x v="0"/>
    <x v="0"/>
  </r>
  <r>
    <x v="11"/>
    <x v="0"/>
    <n v="4612"/>
    <s v="Mindanao"/>
    <x v="0"/>
    <x v="0"/>
  </r>
  <r>
    <x v="11"/>
    <x v="1"/>
    <n v="17775"/>
    <s v="Mindanao"/>
    <x v="0"/>
    <x v="0"/>
  </r>
  <r>
    <x v="11"/>
    <x v="2"/>
    <n v="273579"/>
    <s v="Mindanao"/>
    <x v="0"/>
    <x v="0"/>
  </r>
  <r>
    <x v="11"/>
    <x v="3"/>
    <n v="204088"/>
    <s v="Mindanao"/>
    <x v="0"/>
    <x v="0"/>
  </r>
  <r>
    <x v="12"/>
    <x v="0"/>
    <n v="1775"/>
    <s v="Mindanao"/>
    <x v="0"/>
    <x v="0"/>
  </r>
  <r>
    <x v="12"/>
    <x v="1"/>
    <n v="10237"/>
    <s v="Mindanao"/>
    <x v="0"/>
    <x v="0"/>
  </r>
  <r>
    <x v="12"/>
    <x v="2"/>
    <n v="233224"/>
    <s v="Mindanao"/>
    <x v="0"/>
    <x v="0"/>
  </r>
  <r>
    <x v="12"/>
    <x v="3"/>
    <n v="207896"/>
    <s v="Mindanao"/>
    <x v="0"/>
    <x v="0"/>
  </r>
  <r>
    <x v="13"/>
    <x v="0"/>
    <n v="2255"/>
    <s v="Mindanao"/>
    <x v="0"/>
    <x v="0"/>
  </r>
  <r>
    <x v="13"/>
    <x v="1"/>
    <n v="11587"/>
    <s v="Mindanao"/>
    <x v="0"/>
    <x v="0"/>
  </r>
  <r>
    <x v="13"/>
    <x v="2"/>
    <n v="224130"/>
    <s v="Mindanao"/>
    <x v="0"/>
    <x v="0"/>
  </r>
  <r>
    <x v="13"/>
    <x v="3"/>
    <n v="173609"/>
    <s v="Mindanao"/>
    <x v="0"/>
    <x v="0"/>
  </r>
  <r>
    <x v="14"/>
    <x v="0"/>
    <n v="864"/>
    <s v="Mindanao"/>
    <x v="0"/>
    <x v="0"/>
  </r>
  <r>
    <x v="14"/>
    <x v="1"/>
    <n v="5914"/>
    <s v="Mindanao"/>
    <x v="0"/>
    <x v="0"/>
  </r>
  <r>
    <x v="14"/>
    <x v="2"/>
    <n v="209224"/>
    <s v="Mindanao"/>
    <x v="0"/>
    <x v="0"/>
  </r>
  <r>
    <x v="14"/>
    <x v="3"/>
    <n v="192431"/>
    <s v="Mindanao"/>
    <x v="0"/>
    <x v="0"/>
  </r>
  <r>
    <x v="15"/>
    <x v="0"/>
    <n v="4373"/>
    <s v="Mindanao"/>
    <x v="0"/>
    <x v="0"/>
  </r>
  <r>
    <x v="15"/>
    <x v="1"/>
    <n v="14960"/>
    <s v="Mindanao"/>
    <x v="0"/>
    <x v="0"/>
  </r>
  <r>
    <x v="15"/>
    <x v="2"/>
    <n v="172807"/>
    <s v="Mindanao"/>
    <x v="0"/>
    <x v="0"/>
  </r>
  <r>
    <x v="15"/>
    <x v="3"/>
    <n v="137479"/>
    <s v="Mindanao"/>
    <x v="0"/>
    <x v="0"/>
  </r>
  <r>
    <x v="16"/>
    <x v="0"/>
    <n v="580"/>
    <s v="Mindanao"/>
    <x v="0"/>
    <x v="0"/>
  </r>
  <r>
    <x v="16"/>
    <x v="1"/>
    <n v="2127"/>
    <s v="Mindanao"/>
    <x v="0"/>
    <x v="0"/>
  </r>
  <r>
    <x v="16"/>
    <x v="2"/>
    <n v="347321"/>
    <s v="Mindanao"/>
    <x v="0"/>
    <x v="0"/>
  </r>
  <r>
    <x v="16"/>
    <x v="3"/>
    <n v="356822"/>
    <s v="Mindanao"/>
    <x v="0"/>
    <x v="0"/>
  </r>
  <r>
    <x v="0"/>
    <x v="0"/>
    <n v="2928"/>
    <s v="Luzon"/>
    <x v="1"/>
    <x v="0"/>
  </r>
  <r>
    <x v="0"/>
    <x v="1"/>
    <n v="9280"/>
    <s v="Luzon"/>
    <x v="1"/>
    <x v="0"/>
  </r>
  <r>
    <x v="0"/>
    <x v="2"/>
    <n v="219619"/>
    <s v="Luzon"/>
    <x v="1"/>
    <x v="0"/>
  </r>
  <r>
    <x v="0"/>
    <x v="3"/>
    <n v="176675"/>
    <s v="Luzon"/>
    <x v="1"/>
    <x v="0"/>
  </r>
  <r>
    <x v="1"/>
    <x v="0"/>
    <n v="1497"/>
    <s v="Luzon"/>
    <x v="1"/>
    <x v="0"/>
  </r>
  <r>
    <x v="1"/>
    <x v="1"/>
    <n v="4761"/>
    <s v="Luzon"/>
    <x v="1"/>
    <x v="0"/>
  </r>
  <r>
    <x v="1"/>
    <x v="2"/>
    <n v="51644"/>
    <s v="Luzon"/>
    <x v="1"/>
    <x v="0"/>
  </r>
  <r>
    <x v="1"/>
    <x v="3"/>
    <n v="50366"/>
    <s v="Luzon"/>
    <x v="1"/>
    <x v="0"/>
  </r>
  <r>
    <x v="2"/>
    <x v="0"/>
    <n v="5157"/>
    <s v="Luzon"/>
    <x v="1"/>
    <x v="0"/>
  </r>
  <r>
    <x v="2"/>
    <x v="1"/>
    <n v="17769"/>
    <s v="Luzon"/>
    <x v="1"/>
    <x v="0"/>
  </r>
  <r>
    <x v="2"/>
    <x v="2"/>
    <n v="204041"/>
    <s v="Luzon"/>
    <x v="1"/>
    <x v="0"/>
  </r>
  <r>
    <x v="2"/>
    <x v="3"/>
    <n v="158129"/>
    <s v="Luzon"/>
    <x v="1"/>
    <x v="0"/>
  </r>
  <r>
    <x v="3"/>
    <x v="0"/>
    <n v="2044"/>
    <s v="Luzon"/>
    <x v="1"/>
    <x v="0"/>
  </r>
  <r>
    <x v="3"/>
    <x v="1"/>
    <n v="7392"/>
    <s v="Luzon"/>
    <x v="1"/>
    <x v="0"/>
  </r>
  <r>
    <x v="3"/>
    <x v="2"/>
    <n v="103424"/>
    <s v="Luzon"/>
    <x v="1"/>
    <x v="0"/>
  </r>
  <r>
    <x v="3"/>
    <x v="3"/>
    <n v="82213"/>
    <s v="Luzon"/>
    <x v="1"/>
    <x v="0"/>
  </r>
  <r>
    <x v="4"/>
    <x v="0"/>
    <n v="3008"/>
    <s v="Luzon"/>
    <x v="1"/>
    <x v="0"/>
  </r>
  <r>
    <x v="4"/>
    <x v="1"/>
    <n v="12536"/>
    <s v="Luzon"/>
    <x v="1"/>
    <x v="0"/>
  </r>
  <r>
    <x v="4"/>
    <x v="2"/>
    <n v="293239"/>
    <s v="Luzon"/>
    <x v="1"/>
    <x v="0"/>
  </r>
  <r>
    <x v="4"/>
    <x v="3"/>
    <n v="232788"/>
    <s v="Luzon"/>
    <x v="1"/>
    <x v="0"/>
  </r>
  <r>
    <x v="5"/>
    <x v="0"/>
    <n v="5857"/>
    <s v="Luzon"/>
    <x v="1"/>
    <x v="0"/>
  </r>
  <r>
    <x v="5"/>
    <x v="1"/>
    <n v="20458"/>
    <s v="Luzon"/>
    <x v="1"/>
    <x v="0"/>
  </r>
  <r>
    <x v="5"/>
    <x v="2"/>
    <n v="326071"/>
    <s v="Luzon"/>
    <x v="1"/>
    <x v="0"/>
  </r>
  <r>
    <x v="5"/>
    <x v="3"/>
    <n v="263667"/>
    <s v="Luzon"/>
    <x v="1"/>
    <x v="0"/>
  </r>
  <r>
    <x v="6"/>
    <x v="0"/>
    <n v="5282"/>
    <s v="Luzon"/>
    <x v="1"/>
    <x v="0"/>
  </r>
  <r>
    <x v="6"/>
    <x v="1"/>
    <n v="18882"/>
    <s v="Luzon"/>
    <x v="1"/>
    <x v="0"/>
  </r>
  <r>
    <x v="6"/>
    <x v="2"/>
    <n v="176019"/>
    <s v="Luzon"/>
    <x v="1"/>
    <x v="0"/>
  </r>
  <r>
    <x v="6"/>
    <x v="3"/>
    <n v="153386"/>
    <s v="Luzon"/>
    <x v="1"/>
    <x v="0"/>
  </r>
  <r>
    <x v="7"/>
    <x v="0"/>
    <n v="5583"/>
    <s v="Luzon"/>
    <x v="1"/>
    <x v="0"/>
  </r>
  <r>
    <x v="7"/>
    <x v="1"/>
    <n v="18481"/>
    <s v="Luzon"/>
    <x v="1"/>
    <x v="0"/>
  </r>
  <r>
    <x v="7"/>
    <x v="2"/>
    <n v="372776"/>
    <s v="Luzon"/>
    <x v="1"/>
    <x v="0"/>
  </r>
  <r>
    <x v="7"/>
    <x v="3"/>
    <n v="336908"/>
    <s v="Luzon"/>
    <x v="1"/>
    <x v="0"/>
  </r>
  <r>
    <x v="8"/>
    <x v="0"/>
    <n v="7054"/>
    <s v="Visayas"/>
    <x v="1"/>
    <x v="0"/>
  </r>
  <r>
    <x v="8"/>
    <x v="1"/>
    <n v="21454"/>
    <s v="Visayas"/>
    <x v="1"/>
    <x v="0"/>
  </r>
  <r>
    <x v="8"/>
    <x v="2"/>
    <n v="326340"/>
    <s v="Visayas"/>
    <x v="1"/>
    <x v="0"/>
  </r>
  <r>
    <x v="8"/>
    <x v="3"/>
    <n v="277071"/>
    <s v="Visayas"/>
    <x v="1"/>
    <x v="0"/>
  </r>
  <r>
    <x v="9"/>
    <x v="0"/>
    <n v="4250"/>
    <s v="Visayas"/>
    <x v="1"/>
    <x v="0"/>
  </r>
  <r>
    <x v="9"/>
    <x v="1"/>
    <n v="19654"/>
    <s v="Visayas"/>
    <x v="1"/>
    <x v="0"/>
  </r>
  <r>
    <x v="9"/>
    <x v="2"/>
    <n v="287170"/>
    <s v="Visayas"/>
    <x v="1"/>
    <x v="0"/>
  </r>
  <r>
    <x v="9"/>
    <x v="3"/>
    <n v="237001"/>
    <s v="Visayas"/>
    <x v="1"/>
    <x v="0"/>
  </r>
  <r>
    <x v="10"/>
    <x v="0"/>
    <n v="3546"/>
    <s v="Visayas"/>
    <x v="1"/>
    <x v="0"/>
  </r>
  <r>
    <x v="10"/>
    <x v="1"/>
    <n v="15029"/>
    <s v="Visayas"/>
    <x v="1"/>
    <x v="0"/>
  </r>
  <r>
    <x v="10"/>
    <x v="2"/>
    <n v="258423"/>
    <s v="Visayas"/>
    <x v="1"/>
    <x v="0"/>
  </r>
  <r>
    <x v="10"/>
    <x v="3"/>
    <n v="234264"/>
    <s v="Visayas"/>
    <x v="1"/>
    <x v="0"/>
  </r>
  <r>
    <x v="11"/>
    <x v="0"/>
    <n v="4971"/>
    <s v="Mindanao"/>
    <x v="1"/>
    <x v="0"/>
  </r>
  <r>
    <x v="11"/>
    <x v="1"/>
    <n v="17645"/>
    <s v="Mindanao"/>
    <x v="1"/>
    <x v="0"/>
  </r>
  <r>
    <x v="11"/>
    <x v="2"/>
    <n v="266270"/>
    <s v="Mindanao"/>
    <x v="1"/>
    <x v="0"/>
  </r>
  <r>
    <x v="11"/>
    <x v="3"/>
    <n v="207083"/>
    <s v="Mindanao"/>
    <x v="1"/>
    <x v="0"/>
  </r>
  <r>
    <x v="12"/>
    <x v="0"/>
    <n v="1770"/>
    <s v="Mindanao"/>
    <x v="1"/>
    <x v="0"/>
  </r>
  <r>
    <x v="12"/>
    <x v="1"/>
    <n v="9611"/>
    <s v="Mindanao"/>
    <x v="1"/>
    <x v="0"/>
  </r>
  <r>
    <x v="12"/>
    <x v="2"/>
    <n v="225941"/>
    <s v="Mindanao"/>
    <x v="1"/>
    <x v="0"/>
  </r>
  <r>
    <x v="12"/>
    <x v="3"/>
    <n v="210695"/>
    <s v="Mindanao"/>
    <x v="1"/>
    <x v="0"/>
  </r>
  <r>
    <x v="13"/>
    <x v="0"/>
    <n v="2172"/>
    <s v="Mindanao"/>
    <x v="1"/>
    <x v="0"/>
  </r>
  <r>
    <x v="13"/>
    <x v="1"/>
    <n v="10958"/>
    <s v="Mindanao"/>
    <x v="1"/>
    <x v="0"/>
  </r>
  <r>
    <x v="13"/>
    <x v="2"/>
    <n v="218680"/>
    <s v="Mindanao"/>
    <x v="1"/>
    <x v="0"/>
  </r>
  <r>
    <x v="13"/>
    <x v="3"/>
    <n v="177367"/>
    <s v="Mindanao"/>
    <x v="1"/>
    <x v="0"/>
  </r>
  <r>
    <x v="14"/>
    <x v="0"/>
    <n v="996"/>
    <s v="Mindanao"/>
    <x v="1"/>
    <x v="0"/>
  </r>
  <r>
    <x v="14"/>
    <x v="1"/>
    <n v="10143"/>
    <s v="Mindanao"/>
    <x v="1"/>
    <x v="0"/>
  </r>
  <r>
    <x v="14"/>
    <x v="2"/>
    <n v="204955"/>
    <s v="Mindanao"/>
    <x v="1"/>
    <x v="0"/>
  </r>
  <r>
    <x v="14"/>
    <x v="3"/>
    <n v="195624"/>
    <s v="Mindanao"/>
    <x v="1"/>
    <x v="0"/>
  </r>
  <r>
    <x v="16"/>
    <x v="0"/>
    <n v="559"/>
    <s v="Mindanao"/>
    <x v="1"/>
    <x v="0"/>
  </r>
  <r>
    <x v="16"/>
    <x v="1"/>
    <n v="2013"/>
    <s v="Mindanao"/>
    <x v="1"/>
    <x v="0"/>
  </r>
  <r>
    <x v="16"/>
    <x v="2"/>
    <n v="326467"/>
    <s v="Mindanao"/>
    <x v="1"/>
    <x v="0"/>
  </r>
  <r>
    <x v="16"/>
    <x v="3"/>
    <n v="355781"/>
    <s v="Mindanao"/>
    <x v="1"/>
    <x v="0"/>
  </r>
  <r>
    <x v="0"/>
    <x v="0"/>
    <n v="2525"/>
    <s v="Luzon"/>
    <x v="2"/>
    <x v="0"/>
  </r>
  <r>
    <x v="0"/>
    <x v="1"/>
    <n v="8820"/>
    <s v="Luzon"/>
    <x v="2"/>
    <x v="0"/>
  </r>
  <r>
    <x v="0"/>
    <x v="2"/>
    <n v="209781"/>
    <s v="Luzon"/>
    <x v="2"/>
    <x v="0"/>
  </r>
  <r>
    <x v="0"/>
    <x v="3"/>
    <n v="179263"/>
    <s v="Luzon"/>
    <x v="2"/>
    <x v="0"/>
  </r>
  <r>
    <x v="1"/>
    <x v="0"/>
    <n v="1388"/>
    <s v="Luzon"/>
    <x v="2"/>
    <x v="0"/>
  </r>
  <r>
    <x v="1"/>
    <x v="1"/>
    <n v="4579"/>
    <s v="Luzon"/>
    <x v="2"/>
    <x v="0"/>
  </r>
  <r>
    <x v="1"/>
    <x v="2"/>
    <n v="49437"/>
    <s v="Luzon"/>
    <x v="2"/>
    <x v="0"/>
  </r>
  <r>
    <x v="1"/>
    <x v="3"/>
    <n v="50702"/>
    <s v="Luzon"/>
    <x v="2"/>
    <x v="0"/>
  </r>
  <r>
    <x v="2"/>
    <x v="0"/>
    <n v="4808"/>
    <s v="Luzon"/>
    <x v="2"/>
    <x v="0"/>
  </r>
  <r>
    <x v="2"/>
    <x v="1"/>
    <n v="16715"/>
    <s v="Luzon"/>
    <x v="2"/>
    <x v="0"/>
  </r>
  <r>
    <x v="2"/>
    <x v="2"/>
    <n v="196612"/>
    <s v="Luzon"/>
    <x v="2"/>
    <x v="0"/>
  </r>
  <r>
    <x v="2"/>
    <x v="3"/>
    <n v="160358"/>
    <s v="Luzon"/>
    <x v="2"/>
    <x v="0"/>
  </r>
  <r>
    <x v="3"/>
    <x v="0"/>
    <n v="1789"/>
    <s v="Luzon"/>
    <x v="2"/>
    <x v="0"/>
  </r>
  <r>
    <x v="3"/>
    <x v="1"/>
    <n v="6958"/>
    <s v="Luzon"/>
    <x v="2"/>
    <x v="0"/>
  </r>
  <r>
    <x v="3"/>
    <x v="2"/>
    <n v="99057"/>
    <s v="Luzon"/>
    <x v="2"/>
    <x v="0"/>
  </r>
  <r>
    <x v="3"/>
    <x v="3"/>
    <n v="83603"/>
    <s v="Luzon"/>
    <x v="2"/>
    <x v="0"/>
  </r>
  <r>
    <x v="4"/>
    <x v="0"/>
    <n v="2696"/>
    <s v="Luzon"/>
    <x v="2"/>
    <x v="0"/>
  </r>
  <r>
    <x v="4"/>
    <x v="1"/>
    <n v="11309"/>
    <s v="Luzon"/>
    <x v="2"/>
    <x v="0"/>
  </r>
  <r>
    <x v="4"/>
    <x v="2"/>
    <n v="279116"/>
    <s v="Luzon"/>
    <x v="2"/>
    <x v="0"/>
  </r>
  <r>
    <x v="4"/>
    <x v="3"/>
    <n v="235635"/>
    <s v="Luzon"/>
    <x v="2"/>
    <x v="0"/>
  </r>
  <r>
    <x v="5"/>
    <x v="0"/>
    <n v="5005"/>
    <s v="Luzon"/>
    <x v="2"/>
    <x v="0"/>
  </r>
  <r>
    <x v="5"/>
    <x v="1"/>
    <n v="19327"/>
    <s v="Luzon"/>
    <x v="2"/>
    <x v="0"/>
  </r>
  <r>
    <x v="5"/>
    <x v="2"/>
    <n v="312673"/>
    <s v="Luzon"/>
    <x v="2"/>
    <x v="0"/>
  </r>
  <r>
    <x v="5"/>
    <x v="3"/>
    <n v="267610"/>
    <s v="Luzon"/>
    <x v="2"/>
    <x v="0"/>
  </r>
  <r>
    <x v="6"/>
    <x v="0"/>
    <n v="4977"/>
    <s v="Luzon"/>
    <x v="2"/>
    <x v="0"/>
  </r>
  <r>
    <x v="6"/>
    <x v="1"/>
    <n v="18305"/>
    <s v="Luzon"/>
    <x v="2"/>
    <x v="0"/>
  </r>
  <r>
    <x v="6"/>
    <x v="2"/>
    <n v="172066"/>
    <s v="Luzon"/>
    <x v="2"/>
    <x v="0"/>
  </r>
  <r>
    <x v="6"/>
    <x v="3"/>
    <n v="154608"/>
    <s v="Luzon"/>
    <x v="2"/>
    <x v="0"/>
  </r>
  <r>
    <x v="7"/>
    <x v="0"/>
    <n v="5295"/>
    <s v="Luzon"/>
    <x v="2"/>
    <x v="0"/>
  </r>
  <r>
    <x v="7"/>
    <x v="1"/>
    <n v="18245"/>
    <s v="Luzon"/>
    <x v="2"/>
    <x v="0"/>
  </r>
  <r>
    <x v="7"/>
    <x v="2"/>
    <n v="360610"/>
    <s v="Luzon"/>
    <x v="2"/>
    <x v="0"/>
  </r>
  <r>
    <x v="7"/>
    <x v="3"/>
    <n v="341244"/>
    <s v="Luzon"/>
    <x v="2"/>
    <x v="0"/>
  </r>
  <r>
    <x v="8"/>
    <x v="0"/>
    <n v="6047"/>
    <s v="Visayas"/>
    <x v="2"/>
    <x v="0"/>
  </r>
  <r>
    <x v="8"/>
    <x v="1"/>
    <n v="20239"/>
    <s v="Visayas"/>
    <x v="2"/>
    <x v="0"/>
  </r>
  <r>
    <x v="8"/>
    <x v="2"/>
    <n v="312630"/>
    <s v="Visayas"/>
    <x v="2"/>
    <x v="0"/>
  </r>
  <r>
    <x v="8"/>
    <x v="3"/>
    <n v="278795"/>
    <s v="Visayas"/>
    <x v="2"/>
    <x v="0"/>
  </r>
  <r>
    <x v="9"/>
    <x v="0"/>
    <n v="3510"/>
    <s v="Visayas"/>
    <x v="2"/>
    <x v="0"/>
  </r>
  <r>
    <x v="9"/>
    <x v="1"/>
    <n v="17628"/>
    <s v="Visayas"/>
    <x v="2"/>
    <x v="0"/>
  </r>
  <r>
    <x v="9"/>
    <x v="2"/>
    <n v="274540"/>
    <s v="Visayas"/>
    <x v="2"/>
    <x v="0"/>
  </r>
  <r>
    <x v="9"/>
    <x v="3"/>
    <n v="238941"/>
    <s v="Visayas"/>
    <x v="2"/>
    <x v="0"/>
  </r>
  <r>
    <x v="10"/>
    <x v="0"/>
    <n v="3128"/>
    <s v="Visayas"/>
    <x v="2"/>
    <x v="0"/>
  </r>
  <r>
    <x v="10"/>
    <x v="1"/>
    <n v="13622"/>
    <s v="Visayas"/>
    <x v="2"/>
    <x v="0"/>
  </r>
  <r>
    <x v="10"/>
    <x v="2"/>
    <n v="245401"/>
    <s v="Visayas"/>
    <x v="2"/>
    <x v="0"/>
  </r>
  <r>
    <x v="10"/>
    <x v="3"/>
    <n v="236187"/>
    <s v="Visayas"/>
    <x v="2"/>
    <x v="0"/>
  </r>
  <r>
    <x v="11"/>
    <x v="0"/>
    <n v="4485"/>
    <s v="Mindanao"/>
    <x v="2"/>
    <x v="0"/>
  </r>
  <r>
    <x v="11"/>
    <x v="1"/>
    <n v="16991"/>
    <s v="Mindanao"/>
    <x v="2"/>
    <x v="0"/>
  </r>
  <r>
    <x v="11"/>
    <x v="2"/>
    <n v="255390"/>
    <s v="Mindanao"/>
    <x v="2"/>
    <x v="0"/>
  </r>
  <r>
    <x v="11"/>
    <x v="3"/>
    <n v="209316"/>
    <s v="Mindanao"/>
    <x v="2"/>
    <x v="0"/>
  </r>
  <r>
    <x v="12"/>
    <x v="0"/>
    <n v="1633"/>
    <s v="Mindanao"/>
    <x v="2"/>
    <x v="0"/>
  </r>
  <r>
    <x v="12"/>
    <x v="1"/>
    <n v="8420"/>
    <s v="Mindanao"/>
    <x v="2"/>
    <x v="0"/>
  </r>
  <r>
    <x v="12"/>
    <x v="2"/>
    <n v="213240"/>
    <s v="Mindanao"/>
    <x v="2"/>
    <x v="0"/>
  </r>
  <r>
    <x v="12"/>
    <x v="3"/>
    <n v="213822"/>
    <s v="Mindanao"/>
    <x v="2"/>
    <x v="0"/>
  </r>
  <r>
    <x v="13"/>
    <x v="0"/>
    <n v="1820"/>
    <s v="Mindanao"/>
    <x v="2"/>
    <x v="0"/>
  </r>
  <r>
    <x v="13"/>
    <x v="1"/>
    <n v="9741"/>
    <s v="Mindanao"/>
    <x v="2"/>
    <x v="0"/>
  </r>
  <r>
    <x v="13"/>
    <x v="2"/>
    <n v="208606"/>
    <s v="Mindanao"/>
    <x v="2"/>
    <x v="0"/>
  </r>
  <r>
    <x v="13"/>
    <x v="3"/>
    <n v="179741"/>
    <s v="Mindanao"/>
    <x v="2"/>
    <x v="0"/>
  </r>
  <r>
    <x v="14"/>
    <x v="0"/>
    <n v="989"/>
    <s v="Mindanao"/>
    <x v="2"/>
    <x v="0"/>
  </r>
  <r>
    <x v="14"/>
    <x v="1"/>
    <n v="5238"/>
    <s v="Mindanao"/>
    <x v="2"/>
    <x v="0"/>
  </r>
  <r>
    <x v="14"/>
    <x v="2"/>
    <n v="192692"/>
    <s v="Mindanao"/>
    <x v="2"/>
    <x v="0"/>
  </r>
  <r>
    <x v="14"/>
    <x v="3"/>
    <n v="196249"/>
    <s v="Mindanao"/>
    <x v="2"/>
    <x v="0"/>
  </r>
  <r>
    <x v="16"/>
    <x v="0"/>
    <n v="498"/>
    <s v="Mindanao"/>
    <x v="2"/>
    <x v="0"/>
  </r>
  <r>
    <x v="16"/>
    <x v="1"/>
    <n v="1966"/>
    <s v="Mindanao"/>
    <x v="2"/>
    <x v="0"/>
  </r>
  <r>
    <x v="16"/>
    <x v="2"/>
    <n v="296621"/>
    <s v="Mindanao"/>
    <x v="2"/>
    <x v="0"/>
  </r>
  <r>
    <x v="16"/>
    <x v="3"/>
    <n v="356016"/>
    <s v="Mindanao"/>
    <x v="2"/>
    <x v="0"/>
  </r>
  <r>
    <x v="0"/>
    <x v="0"/>
    <n v="2178"/>
    <s v="Luzon"/>
    <x v="3"/>
    <x v="0"/>
  </r>
  <r>
    <x v="0"/>
    <x v="1"/>
    <n v="8282"/>
    <s v="Luzon"/>
    <x v="3"/>
    <x v="0"/>
  </r>
  <r>
    <x v="0"/>
    <x v="2"/>
    <n v="199235"/>
    <s v="Luzon"/>
    <x v="3"/>
    <x v="0"/>
  </r>
  <r>
    <x v="0"/>
    <x v="3"/>
    <n v="173033"/>
    <s v="Luzon"/>
    <x v="3"/>
    <x v="0"/>
  </r>
  <r>
    <x v="1"/>
    <x v="0"/>
    <n v="1273"/>
    <s v="Luzon"/>
    <x v="3"/>
    <x v="0"/>
  </r>
  <r>
    <x v="1"/>
    <x v="1"/>
    <n v="4511"/>
    <s v="Luzon"/>
    <x v="3"/>
    <x v="0"/>
  </r>
  <r>
    <x v="1"/>
    <x v="2"/>
    <n v="47444"/>
    <s v="Luzon"/>
    <x v="3"/>
    <x v="0"/>
  </r>
  <r>
    <x v="1"/>
    <x v="3"/>
    <n v="48590"/>
    <s v="Luzon"/>
    <x v="3"/>
    <x v="0"/>
  </r>
  <r>
    <x v="2"/>
    <x v="0"/>
    <n v="5050"/>
    <s v="Luzon"/>
    <x v="3"/>
    <x v="0"/>
  </r>
  <r>
    <x v="2"/>
    <x v="1"/>
    <n v="16656"/>
    <s v="Luzon"/>
    <x v="3"/>
    <x v="0"/>
  </r>
  <r>
    <x v="2"/>
    <x v="2"/>
    <n v="196413"/>
    <s v="Luzon"/>
    <x v="3"/>
    <x v="0"/>
  </r>
  <r>
    <x v="2"/>
    <x v="3"/>
    <n v="156863"/>
    <s v="Luzon"/>
    <x v="3"/>
    <x v="0"/>
  </r>
  <r>
    <x v="3"/>
    <x v="0"/>
    <n v="1924"/>
    <s v="Luzon"/>
    <x v="3"/>
    <x v="0"/>
  </r>
  <r>
    <x v="3"/>
    <x v="1"/>
    <n v="6962"/>
    <s v="Luzon"/>
    <x v="3"/>
    <x v="0"/>
  </r>
  <r>
    <x v="3"/>
    <x v="2"/>
    <n v="98456"/>
    <s v="Luzon"/>
    <x v="3"/>
    <x v="0"/>
  </r>
  <r>
    <x v="3"/>
    <x v="3"/>
    <n v="81893"/>
    <s v="Luzon"/>
    <x v="3"/>
    <x v="0"/>
  </r>
  <r>
    <x v="4"/>
    <x v="0"/>
    <n v="3100"/>
    <s v="Luzon"/>
    <x v="3"/>
    <x v="0"/>
  </r>
  <r>
    <x v="4"/>
    <x v="1"/>
    <n v="11467"/>
    <s v="Luzon"/>
    <x v="3"/>
    <x v="0"/>
  </r>
  <r>
    <x v="4"/>
    <x v="2"/>
    <n v="274298"/>
    <s v="Luzon"/>
    <x v="3"/>
    <x v="0"/>
  </r>
  <r>
    <x v="4"/>
    <x v="3"/>
    <n v="230708"/>
    <s v="Luzon"/>
    <x v="3"/>
    <x v="0"/>
  </r>
  <r>
    <x v="5"/>
    <x v="0"/>
    <n v="4698"/>
    <s v="Luzon"/>
    <x v="3"/>
    <x v="0"/>
  </r>
  <r>
    <x v="5"/>
    <x v="1"/>
    <n v="19014"/>
    <s v="Luzon"/>
    <x v="3"/>
    <x v="0"/>
  </r>
  <r>
    <x v="5"/>
    <x v="2"/>
    <n v="305055"/>
    <s v="Luzon"/>
    <x v="3"/>
    <x v="0"/>
  </r>
  <r>
    <x v="5"/>
    <x v="3"/>
    <n v="260970"/>
    <s v="Luzon"/>
    <x v="3"/>
    <x v="0"/>
  </r>
  <r>
    <x v="6"/>
    <x v="0"/>
    <n v="4491"/>
    <s v="Luzon"/>
    <x v="3"/>
    <x v="0"/>
  </r>
  <r>
    <x v="6"/>
    <x v="1"/>
    <n v="17506"/>
    <s v="Luzon"/>
    <x v="3"/>
    <x v="0"/>
  </r>
  <r>
    <x v="6"/>
    <x v="2"/>
    <n v="168731"/>
    <s v="Luzon"/>
    <x v="3"/>
    <x v="0"/>
  </r>
  <r>
    <x v="6"/>
    <x v="3"/>
    <n v="150706"/>
    <s v="Luzon"/>
    <x v="3"/>
    <x v="0"/>
  </r>
  <r>
    <x v="7"/>
    <x v="0"/>
    <n v="5820"/>
    <s v="Luzon"/>
    <x v="3"/>
    <x v="0"/>
  </r>
  <r>
    <x v="7"/>
    <x v="1"/>
    <n v="18675"/>
    <s v="Luzon"/>
    <x v="3"/>
    <x v="0"/>
  </r>
  <r>
    <x v="7"/>
    <x v="2"/>
    <n v="352185"/>
    <s v="Luzon"/>
    <x v="3"/>
    <x v="0"/>
  </r>
  <r>
    <x v="7"/>
    <x v="3"/>
    <n v="334978"/>
    <s v="Luzon"/>
    <x v="3"/>
    <x v="0"/>
  </r>
  <r>
    <x v="8"/>
    <x v="0"/>
    <n v="6189"/>
    <s v="Visayas"/>
    <x v="3"/>
    <x v="0"/>
  </r>
  <r>
    <x v="8"/>
    <x v="1"/>
    <n v="20863"/>
    <s v="Visayas"/>
    <x v="3"/>
    <x v="0"/>
  </r>
  <r>
    <x v="8"/>
    <x v="2"/>
    <n v="305428"/>
    <s v="Visayas"/>
    <x v="3"/>
    <x v="0"/>
  </r>
  <r>
    <x v="8"/>
    <x v="3"/>
    <n v="275423"/>
    <s v="Visayas"/>
    <x v="3"/>
    <x v="0"/>
  </r>
  <r>
    <x v="9"/>
    <x v="0"/>
    <n v="3168"/>
    <s v="Visayas"/>
    <x v="3"/>
    <x v="0"/>
  </r>
  <r>
    <x v="9"/>
    <x v="1"/>
    <n v="16069"/>
    <s v="Visayas"/>
    <x v="3"/>
    <x v="0"/>
  </r>
  <r>
    <x v="9"/>
    <x v="2"/>
    <n v="265691"/>
    <s v="Visayas"/>
    <x v="3"/>
    <x v="0"/>
  </r>
  <r>
    <x v="9"/>
    <x v="3"/>
    <n v="235284"/>
    <s v="Visayas"/>
    <x v="3"/>
    <x v="0"/>
  </r>
  <r>
    <x v="10"/>
    <x v="0"/>
    <n v="3147"/>
    <s v="Visayas"/>
    <x v="3"/>
    <x v="0"/>
  </r>
  <r>
    <x v="10"/>
    <x v="1"/>
    <n v="12802"/>
    <s v="Visayas"/>
    <x v="3"/>
    <x v="0"/>
  </r>
  <r>
    <x v="10"/>
    <x v="2"/>
    <n v="237842"/>
    <s v="Visayas"/>
    <x v="3"/>
    <x v="0"/>
  </r>
  <r>
    <x v="10"/>
    <x v="3"/>
    <n v="232639"/>
    <s v="Visayas"/>
    <x v="3"/>
    <x v="0"/>
  </r>
  <r>
    <x v="11"/>
    <x v="0"/>
    <n v="4418"/>
    <s v="Mindanao"/>
    <x v="3"/>
    <x v="0"/>
  </r>
  <r>
    <x v="11"/>
    <x v="1"/>
    <n v="16575"/>
    <s v="Mindanao"/>
    <x v="3"/>
    <x v="0"/>
  </r>
  <r>
    <x v="11"/>
    <x v="2"/>
    <n v="246135"/>
    <s v="Mindanao"/>
    <x v="3"/>
    <x v="0"/>
  </r>
  <r>
    <x v="11"/>
    <x v="3"/>
    <n v="206343"/>
    <s v="Mindanao"/>
    <x v="3"/>
    <x v="0"/>
  </r>
  <r>
    <x v="12"/>
    <x v="0"/>
    <n v="1721"/>
    <s v="Mindanao"/>
    <x v="3"/>
    <x v="0"/>
  </r>
  <r>
    <x v="12"/>
    <x v="1"/>
    <n v="7251"/>
    <s v="Mindanao"/>
    <x v="3"/>
    <x v="0"/>
  </r>
  <r>
    <x v="12"/>
    <x v="2"/>
    <n v="202127"/>
    <s v="Mindanao"/>
    <x v="3"/>
    <x v="0"/>
  </r>
  <r>
    <x v="12"/>
    <x v="3"/>
    <n v="210854"/>
    <s v="Mindanao"/>
    <x v="3"/>
    <x v="0"/>
  </r>
  <r>
    <x v="13"/>
    <x v="0"/>
    <n v="1747"/>
    <s v="Mindanao"/>
    <x v="3"/>
    <x v="0"/>
  </r>
  <r>
    <x v="13"/>
    <x v="1"/>
    <n v="8843"/>
    <s v="Mindanao"/>
    <x v="3"/>
    <x v="0"/>
  </r>
  <r>
    <x v="13"/>
    <x v="2"/>
    <n v="201006"/>
    <s v="Mindanao"/>
    <x v="3"/>
    <x v="0"/>
  </r>
  <r>
    <x v="13"/>
    <x v="3"/>
    <n v="177787"/>
    <s v="Mindanao"/>
    <x v="3"/>
    <x v="0"/>
  </r>
  <r>
    <x v="14"/>
    <x v="0"/>
    <n v="1101"/>
    <s v="Mindanao"/>
    <x v="3"/>
    <x v="0"/>
  </r>
  <r>
    <x v="14"/>
    <x v="1"/>
    <n v="4730"/>
    <s v="Mindanao"/>
    <x v="3"/>
    <x v="0"/>
  </r>
  <r>
    <x v="14"/>
    <x v="2"/>
    <n v="155255"/>
    <s v="Mindanao"/>
    <x v="3"/>
    <x v="0"/>
  </r>
  <r>
    <x v="14"/>
    <x v="3"/>
    <n v="155629"/>
    <s v="Mindanao"/>
    <x v="3"/>
    <x v="0"/>
  </r>
  <r>
    <x v="15"/>
    <x v="0"/>
    <n v="3378"/>
    <s v="Mindanao"/>
    <x v="3"/>
    <x v="0"/>
  </r>
  <r>
    <x v="15"/>
    <x v="1"/>
    <n v="12597"/>
    <s v="Mindanao"/>
    <x v="3"/>
    <x v="0"/>
  </r>
  <r>
    <x v="15"/>
    <x v="2"/>
    <n v="160217"/>
    <s v="Mindanao"/>
    <x v="3"/>
    <x v="0"/>
  </r>
  <r>
    <x v="15"/>
    <x v="3"/>
    <n v="138828"/>
    <s v="Mindanao"/>
    <x v="3"/>
    <x v="0"/>
  </r>
  <r>
    <x v="16"/>
    <x v="0"/>
    <n v="550"/>
    <s v="Mindanao"/>
    <x v="3"/>
    <x v="0"/>
  </r>
  <r>
    <x v="16"/>
    <x v="1"/>
    <n v="2310"/>
    <s v="Mindanao"/>
    <x v="3"/>
    <x v="0"/>
  </r>
  <r>
    <x v="16"/>
    <x v="2"/>
    <n v="310950"/>
    <s v="Mindanao"/>
    <x v="3"/>
    <x v="0"/>
  </r>
  <r>
    <x v="16"/>
    <x v="3"/>
    <n v="390854"/>
    <s v="Mindanao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6">
  <r>
    <x v="0"/>
    <n v="123928"/>
    <x v="0"/>
    <s v="Male"/>
    <x v="0"/>
  </r>
  <r>
    <x v="0"/>
    <n v="116197"/>
    <x v="0"/>
    <s v="Female"/>
    <x v="0"/>
  </r>
  <r>
    <x v="0"/>
    <n v="123584"/>
    <x v="1"/>
    <s v="Male"/>
    <x v="0"/>
  </r>
  <r>
    <x v="0"/>
    <n v="114119"/>
    <x v="1"/>
    <s v="Female"/>
    <x v="0"/>
  </r>
  <r>
    <x v="0"/>
    <n v="107592"/>
    <x v="2"/>
    <s v="Male"/>
    <x v="0"/>
  </r>
  <r>
    <x v="0"/>
    <n v="99837"/>
    <x v="2"/>
    <s v="Female"/>
    <x v="0"/>
  </r>
  <r>
    <x v="0"/>
    <n v="113133"/>
    <x v="3"/>
    <s v="Male"/>
    <x v="0"/>
  </r>
  <r>
    <x v="0"/>
    <n v="106867"/>
    <x v="3"/>
    <s v="Female"/>
    <x v="0"/>
  </r>
  <r>
    <x v="0"/>
    <n v="118956"/>
    <x v="4"/>
    <s v="Male"/>
    <x v="0"/>
  </r>
  <r>
    <x v="0"/>
    <n v="113310"/>
    <x v="4"/>
    <s v="Female"/>
    <x v="0"/>
  </r>
  <r>
    <x v="0"/>
    <n v="123691"/>
    <x v="5"/>
    <s v="Male"/>
    <x v="0"/>
  </r>
  <r>
    <x v="0"/>
    <n v="117814"/>
    <x v="5"/>
    <s v="Female"/>
    <x v="0"/>
  </r>
  <r>
    <x v="0"/>
    <n v="122640"/>
    <x v="6"/>
    <s v="Male"/>
    <x v="0"/>
  </r>
  <r>
    <x v="0"/>
    <n v="116645"/>
    <x v="6"/>
    <s v="Female"/>
    <x v="0"/>
  </r>
  <r>
    <x v="0"/>
    <n v="130043"/>
    <x v="7"/>
    <s v="Male"/>
    <x v="0"/>
  </r>
  <r>
    <x v="0"/>
    <n v="121823"/>
    <x v="7"/>
    <s v="Female"/>
    <x v="0"/>
  </r>
  <r>
    <x v="0"/>
    <n v="117730"/>
    <x v="8"/>
    <s v="Male"/>
    <x v="0"/>
  </r>
  <r>
    <x v="0"/>
    <n v="116487"/>
    <x v="8"/>
    <s v="Female"/>
    <x v="0"/>
  </r>
  <r>
    <x v="0"/>
    <n v="107489"/>
    <x v="9"/>
    <s v="Male"/>
    <x v="0"/>
  </r>
  <r>
    <x v="0"/>
    <n v="109352"/>
    <x v="9"/>
    <s v="Female"/>
    <x v="0"/>
  </r>
  <r>
    <x v="0"/>
    <n v="100015"/>
    <x v="10"/>
    <s v="Male"/>
    <x v="0"/>
  </r>
  <r>
    <x v="0"/>
    <n v="106000"/>
    <x v="10"/>
    <s v="Female"/>
    <x v="0"/>
  </r>
  <r>
    <x v="0"/>
    <n v="105623"/>
    <x v="11"/>
    <s v="Male"/>
    <x v="0"/>
  </r>
  <r>
    <x v="0"/>
    <n v="113961"/>
    <x v="11"/>
    <s v="Female"/>
    <x v="0"/>
  </r>
  <r>
    <x v="0"/>
    <n v="87870"/>
    <x v="12"/>
    <s v="Male"/>
    <x v="0"/>
  </r>
  <r>
    <x v="0"/>
    <n v="99445"/>
    <x v="12"/>
    <s v="Female"/>
    <x v="0"/>
  </r>
  <r>
    <x v="0"/>
    <n v="110830"/>
    <x v="0"/>
    <s v="Male"/>
    <x v="1"/>
  </r>
  <r>
    <x v="0"/>
    <n v="101839"/>
    <x v="0"/>
    <s v="Female"/>
    <x v="1"/>
  </r>
  <r>
    <x v="0"/>
    <n v="125615"/>
    <x v="1"/>
    <s v="Male"/>
    <x v="1"/>
  </r>
  <r>
    <x v="0"/>
    <n v="117215"/>
    <x v="1"/>
    <s v="Female"/>
    <x v="1"/>
  </r>
  <r>
    <x v="0"/>
    <n v="121687"/>
    <x v="2"/>
    <s v="Male"/>
    <x v="1"/>
  </r>
  <r>
    <x v="0"/>
    <n v="112850"/>
    <x v="2"/>
    <s v="Female"/>
    <x v="1"/>
  </r>
  <r>
    <x v="0"/>
    <n v="106555"/>
    <x v="3"/>
    <s v="Male"/>
    <x v="1"/>
  </r>
  <r>
    <x v="0"/>
    <n v="98933"/>
    <x v="3"/>
    <s v="Female"/>
    <x v="1"/>
  </r>
  <r>
    <x v="0"/>
    <n v="111329"/>
    <x v="4"/>
    <s v="Male"/>
    <x v="1"/>
  </r>
  <r>
    <x v="0"/>
    <n v="105449"/>
    <x v="4"/>
    <s v="Female"/>
    <x v="1"/>
  </r>
  <r>
    <x v="0"/>
    <n v="116774"/>
    <x v="5"/>
    <s v="Male"/>
    <x v="1"/>
  </r>
  <r>
    <x v="0"/>
    <n v="111928"/>
    <x v="5"/>
    <s v="Female"/>
    <x v="1"/>
  </r>
  <r>
    <x v="0"/>
    <n v="121352"/>
    <x v="6"/>
    <s v="Male"/>
    <x v="1"/>
  </r>
  <r>
    <x v="0"/>
    <n v="116672"/>
    <x v="6"/>
    <s v="Female"/>
    <x v="1"/>
  </r>
  <r>
    <x v="0"/>
    <n v="126637"/>
    <x v="7"/>
    <s v="Male"/>
    <x v="1"/>
  </r>
  <r>
    <x v="0"/>
    <n v="118602"/>
    <x v="7"/>
    <s v="Female"/>
    <x v="1"/>
  </r>
  <r>
    <x v="0"/>
    <n v="120866"/>
    <x v="8"/>
    <s v="Male"/>
    <x v="1"/>
  </r>
  <r>
    <x v="0"/>
    <n v="117513"/>
    <x v="8"/>
    <s v="Female"/>
    <x v="1"/>
  </r>
  <r>
    <x v="0"/>
    <n v="111455"/>
    <x v="9"/>
    <s v="Male"/>
    <x v="1"/>
  </r>
  <r>
    <x v="0"/>
    <n v="113381"/>
    <x v="9"/>
    <s v="Female"/>
    <x v="1"/>
  </r>
  <r>
    <x v="0"/>
    <n v="100992"/>
    <x v="10"/>
    <s v="Male"/>
    <x v="1"/>
  </r>
  <r>
    <x v="0"/>
    <n v="105673"/>
    <x v="10"/>
    <s v="Female"/>
    <x v="1"/>
  </r>
  <r>
    <x v="0"/>
    <n v="105319"/>
    <x v="11"/>
    <s v="Male"/>
    <x v="1"/>
  </r>
  <r>
    <x v="0"/>
    <n v="112880"/>
    <x v="11"/>
    <s v="Female"/>
    <x v="1"/>
  </r>
  <r>
    <x v="0"/>
    <n v="92326"/>
    <x v="12"/>
    <s v="Male"/>
    <x v="1"/>
  </r>
  <r>
    <x v="0"/>
    <n v="100746"/>
    <x v="12"/>
    <s v="Female"/>
    <x v="1"/>
  </r>
  <r>
    <x v="0"/>
    <n v="94017"/>
    <x v="0"/>
    <s v="Male"/>
    <x v="2"/>
  </r>
  <r>
    <x v="0"/>
    <n v="90093"/>
    <x v="0"/>
    <s v="Female"/>
    <x v="2"/>
  </r>
  <r>
    <x v="0"/>
    <n v="104007"/>
    <x v="1"/>
    <s v="Male"/>
    <x v="2"/>
  </r>
  <r>
    <x v="0"/>
    <n v="95460"/>
    <x v="1"/>
    <s v="Female"/>
    <x v="2"/>
  </r>
  <r>
    <x v="0"/>
    <n v="113914"/>
    <x v="2"/>
    <s v="Male"/>
    <x v="2"/>
  </r>
  <r>
    <x v="0"/>
    <n v="107609"/>
    <x v="2"/>
    <s v="Female"/>
    <x v="2"/>
  </r>
  <r>
    <x v="0"/>
    <n v="111706"/>
    <x v="3"/>
    <s v="Male"/>
    <x v="2"/>
  </r>
  <r>
    <x v="0"/>
    <n v="104923"/>
    <x v="3"/>
    <s v="Female"/>
    <x v="2"/>
  </r>
  <r>
    <x v="0"/>
    <n v="97940"/>
    <x v="4"/>
    <s v="Male"/>
    <x v="2"/>
  </r>
  <r>
    <x v="0"/>
    <n v="92108"/>
    <x v="4"/>
    <s v="Female"/>
    <x v="2"/>
  </r>
  <r>
    <x v="0"/>
    <n v="103886"/>
    <x v="5"/>
    <s v="Male"/>
    <x v="2"/>
  </r>
  <r>
    <x v="0"/>
    <n v="99772"/>
    <x v="5"/>
    <s v="Female"/>
    <x v="2"/>
  </r>
  <r>
    <x v="0"/>
    <n v="109476"/>
    <x v="6"/>
    <s v="Male"/>
    <x v="2"/>
  </r>
  <r>
    <x v="0"/>
    <n v="106315"/>
    <x v="6"/>
    <s v="Female"/>
    <x v="2"/>
  </r>
  <r>
    <x v="0"/>
    <n v="110367"/>
    <x v="7"/>
    <s v="Male"/>
    <x v="2"/>
  </r>
  <r>
    <x v="0"/>
    <n v="106745"/>
    <x v="7"/>
    <s v="Female"/>
    <x v="2"/>
  </r>
  <r>
    <x v="0"/>
    <n v="111201"/>
    <x v="8"/>
    <s v="Male"/>
    <x v="2"/>
  </r>
  <r>
    <x v="0"/>
    <n v="108774"/>
    <x v="8"/>
    <s v="Female"/>
    <x v="2"/>
  </r>
  <r>
    <x v="0"/>
    <n v="108042"/>
    <x v="9"/>
    <s v="Male"/>
    <x v="2"/>
  </r>
  <r>
    <x v="0"/>
    <n v="108881"/>
    <x v="9"/>
    <s v="Female"/>
    <x v="2"/>
  </r>
  <r>
    <x v="0"/>
    <n v="98932"/>
    <x v="10"/>
    <s v="Male"/>
    <x v="2"/>
  </r>
  <r>
    <x v="0"/>
    <n v="104663"/>
    <x v="10"/>
    <s v="Female"/>
    <x v="2"/>
  </r>
  <r>
    <x v="0"/>
    <n v="90550"/>
    <x v="11"/>
    <s v="Male"/>
    <x v="2"/>
  </r>
  <r>
    <x v="0"/>
    <n v="99433"/>
    <x v="11"/>
    <s v="Female"/>
    <x v="2"/>
  </r>
  <r>
    <x v="0"/>
    <n v="85897"/>
    <x v="12"/>
    <s v="Male"/>
    <x v="2"/>
  </r>
  <r>
    <x v="0"/>
    <n v="95882"/>
    <x v="12"/>
    <s v="Female"/>
    <x v="2"/>
  </r>
  <r>
    <x v="1"/>
    <n v="37156"/>
    <x v="0"/>
    <s v="Male"/>
    <x v="0"/>
  </r>
  <r>
    <x v="1"/>
    <n v="34644"/>
    <x v="0"/>
    <s v="Female"/>
    <x v="0"/>
  </r>
  <r>
    <x v="1"/>
    <n v="35268"/>
    <x v="1"/>
    <s v="Male"/>
    <x v="0"/>
  </r>
  <r>
    <x v="1"/>
    <n v="32132"/>
    <x v="1"/>
    <s v="Female"/>
    <x v="0"/>
  </r>
  <r>
    <x v="1"/>
    <n v="29943"/>
    <x v="2"/>
    <s v="Male"/>
    <x v="0"/>
  </r>
  <r>
    <x v="1"/>
    <n v="26993"/>
    <x v="2"/>
    <s v="Female"/>
    <x v="0"/>
  </r>
  <r>
    <x v="1"/>
    <n v="32977"/>
    <x v="3"/>
    <s v="Male"/>
    <x v="0"/>
  </r>
  <r>
    <x v="1"/>
    <n v="30396"/>
    <x v="3"/>
    <s v="Female"/>
    <x v="0"/>
  </r>
  <r>
    <x v="1"/>
    <n v="33592"/>
    <x v="4"/>
    <s v="Male"/>
    <x v="0"/>
  </r>
  <r>
    <x v="1"/>
    <n v="31262"/>
    <x v="4"/>
    <s v="Female"/>
    <x v="0"/>
  </r>
  <r>
    <x v="1"/>
    <n v="34526"/>
    <x v="5"/>
    <s v="Male"/>
    <x v="0"/>
  </r>
  <r>
    <x v="1"/>
    <n v="31884"/>
    <x v="5"/>
    <s v="Female"/>
    <x v="0"/>
  </r>
  <r>
    <x v="1"/>
    <n v="33718"/>
    <x v="6"/>
    <s v="Male"/>
    <x v="0"/>
  </r>
  <r>
    <x v="1"/>
    <n v="31330"/>
    <x v="6"/>
    <s v="Female"/>
    <x v="0"/>
  </r>
  <r>
    <x v="1"/>
    <n v="35609"/>
    <x v="7"/>
    <s v="Male"/>
    <x v="0"/>
  </r>
  <r>
    <x v="1"/>
    <n v="32811"/>
    <x v="7"/>
    <s v="Female"/>
    <x v="0"/>
  </r>
  <r>
    <x v="1"/>
    <n v="32403"/>
    <x v="8"/>
    <s v="Male"/>
    <x v="0"/>
  </r>
  <r>
    <x v="1"/>
    <n v="31670"/>
    <x v="8"/>
    <s v="Female"/>
    <x v="0"/>
  </r>
  <r>
    <x v="1"/>
    <n v="27260"/>
    <x v="9"/>
    <s v="Male"/>
    <x v="0"/>
  </r>
  <r>
    <x v="1"/>
    <n v="28426"/>
    <x v="9"/>
    <s v="Female"/>
    <x v="0"/>
  </r>
  <r>
    <x v="1"/>
    <n v="23527"/>
    <x v="10"/>
    <s v="Male"/>
    <x v="0"/>
  </r>
  <r>
    <x v="1"/>
    <n v="25040"/>
    <x v="10"/>
    <s v="Female"/>
    <x v="0"/>
  </r>
  <r>
    <x v="1"/>
    <n v="21670"/>
    <x v="11"/>
    <s v="Male"/>
    <x v="0"/>
  </r>
  <r>
    <x v="1"/>
    <n v="22367"/>
    <x v="11"/>
    <s v="Female"/>
    <x v="0"/>
  </r>
  <r>
    <x v="1"/>
    <n v="17536"/>
    <x v="12"/>
    <s v="Male"/>
    <x v="0"/>
  </r>
  <r>
    <x v="1"/>
    <n v="19213"/>
    <x v="12"/>
    <s v="Female"/>
    <x v="0"/>
  </r>
  <r>
    <x v="1"/>
    <n v="31562"/>
    <x v="0"/>
    <s v="Male"/>
    <x v="1"/>
  </r>
  <r>
    <x v="1"/>
    <n v="28137"/>
    <x v="0"/>
    <s v="Female"/>
    <x v="1"/>
  </r>
  <r>
    <x v="1"/>
    <n v="37692"/>
    <x v="1"/>
    <s v="Male"/>
    <x v="1"/>
  </r>
  <r>
    <x v="1"/>
    <n v="34796"/>
    <x v="1"/>
    <s v="Female"/>
    <x v="1"/>
  </r>
  <r>
    <x v="1"/>
    <n v="34542"/>
    <x v="2"/>
    <s v="Male"/>
    <x v="1"/>
  </r>
  <r>
    <x v="1"/>
    <n v="31702"/>
    <x v="2"/>
    <s v="Female"/>
    <x v="1"/>
  </r>
  <r>
    <x v="1"/>
    <n v="29678"/>
    <x v="3"/>
    <s v="Male"/>
    <x v="1"/>
  </r>
  <r>
    <x v="1"/>
    <n v="26834"/>
    <x v="3"/>
    <s v="Female"/>
    <x v="1"/>
  </r>
  <r>
    <x v="1"/>
    <n v="32494"/>
    <x v="4"/>
    <s v="Male"/>
    <x v="1"/>
  </r>
  <r>
    <x v="1"/>
    <n v="30171"/>
    <x v="4"/>
    <s v="Female"/>
    <x v="1"/>
  </r>
  <r>
    <x v="1"/>
    <n v="33022"/>
    <x v="5"/>
    <s v="Male"/>
    <x v="1"/>
  </r>
  <r>
    <x v="1"/>
    <n v="31056"/>
    <x v="5"/>
    <s v="Female"/>
    <x v="1"/>
  </r>
  <r>
    <x v="1"/>
    <n v="33784"/>
    <x v="6"/>
    <s v="Male"/>
    <x v="1"/>
  </r>
  <r>
    <x v="1"/>
    <n v="31531"/>
    <x v="6"/>
    <s v="Female"/>
    <x v="1"/>
  </r>
  <r>
    <x v="1"/>
    <n v="33221"/>
    <x v="7"/>
    <s v="Male"/>
    <x v="1"/>
  </r>
  <r>
    <x v="1"/>
    <n v="30857"/>
    <x v="7"/>
    <s v="Female"/>
    <x v="1"/>
  </r>
  <r>
    <x v="1"/>
    <n v="33567"/>
    <x v="8"/>
    <s v="Male"/>
    <x v="1"/>
  </r>
  <r>
    <x v="1"/>
    <n v="31864"/>
    <x v="8"/>
    <s v="Female"/>
    <x v="1"/>
  </r>
  <r>
    <x v="1"/>
    <n v="29748"/>
    <x v="9"/>
    <s v="Male"/>
    <x v="1"/>
  </r>
  <r>
    <x v="1"/>
    <n v="30312"/>
    <x v="9"/>
    <s v="Female"/>
    <x v="1"/>
  </r>
  <r>
    <x v="1"/>
    <n v="25273"/>
    <x v="10"/>
    <s v="Male"/>
    <x v="1"/>
  </r>
  <r>
    <x v="1"/>
    <n v="26862"/>
    <x v="10"/>
    <s v="Female"/>
    <x v="1"/>
  </r>
  <r>
    <x v="1"/>
    <n v="22673"/>
    <x v="11"/>
    <s v="Male"/>
    <x v="1"/>
  </r>
  <r>
    <x v="1"/>
    <n v="23383"/>
    <x v="11"/>
    <s v="Female"/>
    <x v="1"/>
  </r>
  <r>
    <x v="1"/>
    <n v="19554"/>
    <x v="12"/>
    <s v="Male"/>
    <x v="1"/>
  </r>
  <r>
    <x v="1"/>
    <n v="20921"/>
    <x v="12"/>
    <s v="Female"/>
    <x v="1"/>
  </r>
  <r>
    <x v="1"/>
    <n v="32679"/>
    <x v="0"/>
    <s v="Male"/>
    <x v="2"/>
  </r>
  <r>
    <x v="1"/>
    <n v="30523"/>
    <x v="0"/>
    <s v="Female"/>
    <x v="2"/>
  </r>
  <r>
    <x v="1"/>
    <n v="32747"/>
    <x v="1"/>
    <s v="Male"/>
    <x v="2"/>
  </r>
  <r>
    <x v="1"/>
    <n v="28502"/>
    <x v="1"/>
    <s v="Female"/>
    <x v="2"/>
  </r>
  <r>
    <x v="1"/>
    <n v="36346"/>
    <x v="2"/>
    <s v="Male"/>
    <x v="2"/>
  </r>
  <r>
    <x v="1"/>
    <n v="33806"/>
    <x v="2"/>
    <s v="Female"/>
    <x v="2"/>
  </r>
  <r>
    <x v="1"/>
    <n v="33856"/>
    <x v="3"/>
    <s v="Male"/>
    <x v="2"/>
  </r>
  <r>
    <x v="1"/>
    <n v="31280"/>
    <x v="3"/>
    <s v="Female"/>
    <x v="2"/>
  </r>
  <r>
    <x v="1"/>
    <n v="29217"/>
    <x v="4"/>
    <s v="Male"/>
    <x v="2"/>
  </r>
  <r>
    <x v="1"/>
    <n v="26505"/>
    <x v="4"/>
    <s v="Female"/>
    <x v="2"/>
  </r>
  <r>
    <x v="1"/>
    <n v="32125"/>
    <x v="5"/>
    <s v="Male"/>
    <x v="2"/>
  </r>
  <r>
    <x v="1"/>
    <n v="29827"/>
    <x v="5"/>
    <s v="Female"/>
    <x v="2"/>
  </r>
  <r>
    <x v="1"/>
    <n v="32250"/>
    <x v="6"/>
    <s v="Male"/>
    <x v="2"/>
  </r>
  <r>
    <x v="1"/>
    <n v="30763"/>
    <x v="6"/>
    <s v="Female"/>
    <x v="2"/>
  </r>
  <r>
    <x v="1"/>
    <n v="32366"/>
    <x v="7"/>
    <s v="Male"/>
    <x v="2"/>
  </r>
  <r>
    <x v="1"/>
    <n v="30177"/>
    <x v="7"/>
    <s v="Female"/>
    <x v="2"/>
  </r>
  <r>
    <x v="1"/>
    <n v="32111"/>
    <x v="8"/>
    <s v="Male"/>
    <x v="2"/>
  </r>
  <r>
    <x v="1"/>
    <n v="30278"/>
    <x v="8"/>
    <s v="Female"/>
    <x v="2"/>
  </r>
  <r>
    <x v="1"/>
    <n v="31733"/>
    <x v="9"/>
    <s v="Male"/>
    <x v="2"/>
  </r>
  <r>
    <x v="1"/>
    <n v="31074"/>
    <x v="9"/>
    <s v="Female"/>
    <x v="2"/>
  </r>
  <r>
    <x v="1"/>
    <n v="28298"/>
    <x v="10"/>
    <s v="Male"/>
    <x v="2"/>
  </r>
  <r>
    <x v="1"/>
    <n v="29611"/>
    <x v="10"/>
    <s v="Female"/>
    <x v="2"/>
  </r>
  <r>
    <x v="1"/>
    <n v="24356"/>
    <x v="11"/>
    <s v="Male"/>
    <x v="2"/>
  </r>
  <r>
    <x v="1"/>
    <n v="26473"/>
    <x v="11"/>
    <s v="Female"/>
    <x v="2"/>
  </r>
  <r>
    <x v="1"/>
    <n v="20783"/>
    <x v="12"/>
    <s v="Male"/>
    <x v="2"/>
  </r>
  <r>
    <x v="1"/>
    <n v="22315"/>
    <x v="12"/>
    <s v="Female"/>
    <x v="2"/>
  </r>
  <r>
    <x v="2"/>
    <n v="56850"/>
    <x v="0"/>
    <s v="Male"/>
    <x v="0"/>
  </r>
  <r>
    <x v="2"/>
    <n v="53645"/>
    <x v="0"/>
    <s v="Female"/>
    <x v="0"/>
  </r>
  <r>
    <x v="2"/>
    <n v="55378"/>
    <x v="1"/>
    <s v="Male"/>
    <x v="0"/>
  </r>
  <r>
    <x v="2"/>
    <n v="50210"/>
    <x v="1"/>
    <s v="Female"/>
    <x v="0"/>
  </r>
  <r>
    <x v="2"/>
    <n v="44771"/>
    <x v="2"/>
    <s v="Male"/>
    <x v="0"/>
  </r>
  <r>
    <x v="2"/>
    <n v="40682"/>
    <x v="2"/>
    <s v="Female"/>
    <x v="0"/>
  </r>
  <r>
    <x v="2"/>
    <n v="50272"/>
    <x v="3"/>
    <s v="Male"/>
    <x v="0"/>
  </r>
  <r>
    <x v="2"/>
    <n v="46787"/>
    <x v="3"/>
    <s v="Female"/>
    <x v="0"/>
  </r>
  <r>
    <x v="2"/>
    <n v="53573"/>
    <x v="4"/>
    <s v="Male"/>
    <x v="0"/>
  </r>
  <r>
    <x v="2"/>
    <n v="49378"/>
    <x v="4"/>
    <s v="Female"/>
    <x v="0"/>
  </r>
  <r>
    <x v="2"/>
    <n v="57379"/>
    <x v="5"/>
    <s v="Male"/>
    <x v="0"/>
  </r>
  <r>
    <x v="2"/>
    <n v="52553"/>
    <x v="5"/>
    <s v="Female"/>
    <x v="0"/>
  </r>
  <r>
    <x v="2"/>
    <n v="58462"/>
    <x v="6"/>
    <s v="Male"/>
    <x v="0"/>
  </r>
  <r>
    <x v="2"/>
    <n v="52790"/>
    <x v="6"/>
    <s v="Female"/>
    <x v="0"/>
  </r>
  <r>
    <x v="2"/>
    <n v="60460"/>
    <x v="7"/>
    <s v="Male"/>
    <x v="0"/>
  </r>
  <r>
    <x v="2"/>
    <n v="53845"/>
    <x v="7"/>
    <s v="Female"/>
    <x v="0"/>
  </r>
  <r>
    <x v="2"/>
    <n v="55396"/>
    <x v="8"/>
    <s v="Male"/>
    <x v="0"/>
  </r>
  <r>
    <x v="2"/>
    <n v="52811"/>
    <x v="8"/>
    <s v="Female"/>
    <x v="0"/>
  </r>
  <r>
    <x v="2"/>
    <n v="50846"/>
    <x v="9"/>
    <s v="Male"/>
    <x v="0"/>
  </r>
  <r>
    <x v="2"/>
    <n v="49954"/>
    <x v="9"/>
    <s v="Female"/>
    <x v="0"/>
  </r>
  <r>
    <x v="2"/>
    <n v="46572"/>
    <x v="10"/>
    <s v="Male"/>
    <x v="0"/>
  </r>
  <r>
    <x v="2"/>
    <n v="46862"/>
    <x v="10"/>
    <s v="Female"/>
    <x v="0"/>
  </r>
  <r>
    <x v="2"/>
    <n v="42535"/>
    <x v="11"/>
    <s v="Male"/>
    <x v="0"/>
  </r>
  <r>
    <x v="2"/>
    <n v="43172"/>
    <x v="11"/>
    <s v="Female"/>
    <x v="0"/>
  </r>
  <r>
    <x v="2"/>
    <n v="37152"/>
    <x v="12"/>
    <s v="Male"/>
    <x v="0"/>
  </r>
  <r>
    <x v="2"/>
    <n v="39893"/>
    <x v="12"/>
    <s v="Female"/>
    <x v="0"/>
  </r>
  <r>
    <x v="2"/>
    <n v="44696"/>
    <x v="0"/>
    <s v="Male"/>
    <x v="1"/>
  </r>
  <r>
    <x v="2"/>
    <n v="39985"/>
    <x v="0"/>
    <s v="Female"/>
    <x v="1"/>
  </r>
  <r>
    <x v="2"/>
    <n v="57716"/>
    <x v="1"/>
    <s v="Male"/>
    <x v="1"/>
  </r>
  <r>
    <x v="2"/>
    <n v="53901"/>
    <x v="1"/>
    <s v="Female"/>
    <x v="1"/>
  </r>
  <r>
    <x v="2"/>
    <n v="54775"/>
    <x v="2"/>
    <s v="Male"/>
    <x v="1"/>
  </r>
  <r>
    <x v="2"/>
    <n v="49949"/>
    <x v="2"/>
    <s v="Female"/>
    <x v="1"/>
  </r>
  <r>
    <x v="2"/>
    <n v="44749"/>
    <x v="3"/>
    <s v="Male"/>
    <x v="1"/>
  </r>
  <r>
    <x v="2"/>
    <n v="40623"/>
    <x v="3"/>
    <s v="Female"/>
    <x v="1"/>
  </r>
  <r>
    <x v="2"/>
    <n v="50116"/>
    <x v="4"/>
    <s v="Male"/>
    <x v="1"/>
  </r>
  <r>
    <x v="2"/>
    <n v="46695"/>
    <x v="4"/>
    <s v="Female"/>
    <x v="1"/>
  </r>
  <r>
    <x v="2"/>
    <n v="53334"/>
    <x v="5"/>
    <s v="Male"/>
    <x v="1"/>
  </r>
  <r>
    <x v="2"/>
    <n v="49362"/>
    <x v="5"/>
    <s v="Female"/>
    <x v="1"/>
  </r>
  <r>
    <x v="2"/>
    <n v="56842"/>
    <x v="6"/>
    <s v="Male"/>
    <x v="1"/>
  </r>
  <r>
    <x v="2"/>
    <n v="52357"/>
    <x v="6"/>
    <s v="Female"/>
    <x v="1"/>
  </r>
  <r>
    <x v="2"/>
    <n v="58337"/>
    <x v="7"/>
    <s v="Male"/>
    <x v="1"/>
  </r>
  <r>
    <x v="2"/>
    <n v="52582"/>
    <x v="7"/>
    <s v="Female"/>
    <x v="1"/>
  </r>
  <r>
    <x v="2"/>
    <n v="58016"/>
    <x v="8"/>
    <s v="Male"/>
    <x v="1"/>
  </r>
  <r>
    <x v="2"/>
    <n v="53077"/>
    <x v="8"/>
    <s v="Female"/>
    <x v="1"/>
  </r>
  <r>
    <x v="2"/>
    <n v="52797"/>
    <x v="9"/>
    <s v="Male"/>
    <x v="1"/>
  </r>
  <r>
    <x v="2"/>
    <n v="51881"/>
    <x v="9"/>
    <s v="Female"/>
    <x v="1"/>
  </r>
  <r>
    <x v="2"/>
    <n v="47984"/>
    <x v="10"/>
    <s v="Male"/>
    <x v="1"/>
  </r>
  <r>
    <x v="2"/>
    <n v="48448"/>
    <x v="10"/>
    <s v="Female"/>
    <x v="1"/>
  </r>
  <r>
    <x v="2"/>
    <n v="44540"/>
    <x v="11"/>
    <s v="Male"/>
    <x v="1"/>
  </r>
  <r>
    <x v="2"/>
    <n v="44790"/>
    <x v="11"/>
    <s v="Female"/>
    <x v="1"/>
  </r>
  <r>
    <x v="2"/>
    <n v="39296"/>
    <x v="12"/>
    <s v="Male"/>
    <x v="1"/>
  </r>
  <r>
    <x v="2"/>
    <n v="41142"/>
    <x v="12"/>
    <s v="Female"/>
    <x v="1"/>
  </r>
  <r>
    <x v="2"/>
    <n v="51362"/>
    <x v="0"/>
    <s v="Male"/>
    <x v="2"/>
  </r>
  <r>
    <x v="2"/>
    <n v="47897"/>
    <x v="0"/>
    <s v="Female"/>
    <x v="2"/>
  </r>
  <r>
    <x v="2"/>
    <n v="45996"/>
    <x v="1"/>
    <s v="Male"/>
    <x v="2"/>
  </r>
  <r>
    <x v="2"/>
    <n v="40374"/>
    <x v="1"/>
    <s v="Female"/>
    <x v="2"/>
  </r>
  <r>
    <x v="2"/>
    <n v="56529"/>
    <x v="2"/>
    <s v="Male"/>
    <x v="2"/>
  </r>
  <r>
    <x v="2"/>
    <n v="53289"/>
    <x v="2"/>
    <s v="Female"/>
    <x v="2"/>
  </r>
  <r>
    <x v="2"/>
    <n v="54292"/>
    <x v="3"/>
    <s v="Male"/>
    <x v="2"/>
  </r>
  <r>
    <x v="2"/>
    <n v="49735"/>
    <x v="3"/>
    <s v="Female"/>
    <x v="2"/>
  </r>
  <r>
    <x v="2"/>
    <n v="44437"/>
    <x v="4"/>
    <s v="Male"/>
    <x v="2"/>
  </r>
  <r>
    <x v="2"/>
    <n v="40355"/>
    <x v="4"/>
    <s v="Female"/>
    <x v="2"/>
  </r>
  <r>
    <x v="2"/>
    <n v="49742"/>
    <x v="5"/>
    <s v="Male"/>
    <x v="2"/>
  </r>
  <r>
    <x v="2"/>
    <n v="46502"/>
    <x v="5"/>
    <s v="Female"/>
    <x v="2"/>
  </r>
  <r>
    <x v="2"/>
    <n v="52971"/>
    <x v="6"/>
    <s v="Male"/>
    <x v="2"/>
  </r>
  <r>
    <x v="2"/>
    <n v="49154"/>
    <x v="6"/>
    <s v="Female"/>
    <x v="2"/>
  </r>
  <r>
    <x v="2"/>
    <n v="55654"/>
    <x v="7"/>
    <s v="Male"/>
    <x v="2"/>
  </r>
  <r>
    <x v="2"/>
    <n v="50957"/>
    <x v="7"/>
    <s v="Female"/>
    <x v="2"/>
  </r>
  <r>
    <x v="2"/>
    <n v="56540"/>
    <x v="8"/>
    <s v="Male"/>
    <x v="2"/>
  </r>
  <r>
    <x v="2"/>
    <n v="51512"/>
    <x v="8"/>
    <s v="Female"/>
    <x v="2"/>
  </r>
  <r>
    <x v="2"/>
    <n v="56011"/>
    <x v="9"/>
    <s v="Male"/>
    <x v="2"/>
  </r>
  <r>
    <x v="2"/>
    <n v="52414"/>
    <x v="9"/>
    <s v="Female"/>
    <x v="2"/>
  </r>
  <r>
    <x v="2"/>
    <n v="50560"/>
    <x v="10"/>
    <s v="Male"/>
    <x v="2"/>
  </r>
  <r>
    <x v="2"/>
    <n v="50912"/>
    <x v="10"/>
    <s v="Female"/>
    <x v="2"/>
  </r>
  <r>
    <x v="2"/>
    <n v="45969"/>
    <x v="11"/>
    <s v="Male"/>
    <x v="2"/>
  </r>
  <r>
    <x v="2"/>
    <n v="47034"/>
    <x v="11"/>
    <s v="Female"/>
    <x v="2"/>
  </r>
  <r>
    <x v="2"/>
    <n v="41319"/>
    <x v="12"/>
    <s v="Male"/>
    <x v="2"/>
  </r>
  <r>
    <x v="2"/>
    <n v="42937"/>
    <x v="12"/>
    <s v="Female"/>
    <x v="2"/>
  </r>
  <r>
    <x v="3"/>
    <n v="42989"/>
    <x v="0"/>
    <s v="Male"/>
    <x v="0"/>
  </r>
  <r>
    <x v="3"/>
    <n v="40517"/>
    <x v="0"/>
    <s v="Female"/>
    <x v="0"/>
  </r>
  <r>
    <x v="3"/>
    <n v="40770"/>
    <x v="1"/>
    <s v="Male"/>
    <x v="0"/>
  </r>
  <r>
    <x v="3"/>
    <n v="37458"/>
    <x v="1"/>
    <s v="Female"/>
    <x v="0"/>
  </r>
  <r>
    <x v="3"/>
    <n v="33163"/>
    <x v="2"/>
    <s v="Male"/>
    <x v="0"/>
  </r>
  <r>
    <x v="3"/>
    <n v="29866"/>
    <x v="2"/>
    <s v="Female"/>
    <x v="0"/>
  </r>
  <r>
    <x v="3"/>
    <n v="36783"/>
    <x v="3"/>
    <s v="Male"/>
    <x v="0"/>
  </r>
  <r>
    <x v="3"/>
    <n v="34178"/>
    <x v="3"/>
    <s v="Female"/>
    <x v="0"/>
  </r>
  <r>
    <x v="3"/>
    <n v="39283"/>
    <x v="4"/>
    <s v="Male"/>
    <x v="0"/>
  </r>
  <r>
    <x v="3"/>
    <n v="36465"/>
    <x v="4"/>
    <s v="Female"/>
    <x v="0"/>
  </r>
  <r>
    <x v="3"/>
    <n v="40083"/>
    <x v="5"/>
    <s v="Male"/>
    <x v="0"/>
  </r>
  <r>
    <x v="3"/>
    <n v="37494"/>
    <x v="5"/>
    <s v="Female"/>
    <x v="0"/>
  </r>
  <r>
    <x v="3"/>
    <n v="39308"/>
    <x v="6"/>
    <s v="Male"/>
    <x v="0"/>
  </r>
  <r>
    <x v="3"/>
    <n v="36649"/>
    <x v="6"/>
    <s v="Female"/>
    <x v="0"/>
  </r>
  <r>
    <x v="3"/>
    <n v="40765"/>
    <x v="7"/>
    <s v="Male"/>
    <x v="0"/>
  </r>
  <r>
    <x v="3"/>
    <n v="37523"/>
    <x v="7"/>
    <s v="Female"/>
    <x v="0"/>
  </r>
  <r>
    <x v="3"/>
    <n v="35324"/>
    <x v="8"/>
    <s v="Male"/>
    <x v="0"/>
  </r>
  <r>
    <x v="3"/>
    <n v="34583"/>
    <x v="8"/>
    <s v="Female"/>
    <x v="0"/>
  </r>
  <r>
    <x v="3"/>
    <n v="30995"/>
    <x v="9"/>
    <s v="Male"/>
    <x v="0"/>
  </r>
  <r>
    <x v="3"/>
    <n v="31986"/>
    <x v="9"/>
    <s v="Female"/>
    <x v="0"/>
  </r>
  <r>
    <x v="3"/>
    <n v="28176"/>
    <x v="10"/>
    <s v="Male"/>
    <x v="0"/>
  </r>
  <r>
    <x v="3"/>
    <n v="29995"/>
    <x v="10"/>
    <s v="Female"/>
    <x v="0"/>
  </r>
  <r>
    <x v="3"/>
    <n v="25997"/>
    <x v="11"/>
    <s v="Male"/>
    <x v="0"/>
  </r>
  <r>
    <x v="3"/>
    <n v="28099"/>
    <x v="11"/>
    <s v="Female"/>
    <x v="0"/>
  </r>
  <r>
    <x v="3"/>
    <n v="22264"/>
    <x v="12"/>
    <s v="Male"/>
    <x v="0"/>
  </r>
  <r>
    <x v="3"/>
    <n v="25154"/>
    <x v="12"/>
    <s v="Female"/>
    <x v="0"/>
  </r>
  <r>
    <x v="3"/>
    <n v="33528"/>
    <x v="0"/>
    <s v="Male"/>
    <x v="1"/>
  </r>
  <r>
    <x v="3"/>
    <n v="29615"/>
    <x v="0"/>
    <s v="Female"/>
    <x v="1"/>
  </r>
  <r>
    <x v="3"/>
    <n v="43554"/>
    <x v="1"/>
    <s v="Male"/>
    <x v="1"/>
  </r>
  <r>
    <x v="3"/>
    <n v="40726"/>
    <x v="1"/>
    <s v="Female"/>
    <x v="1"/>
  </r>
  <r>
    <x v="3"/>
    <n v="40234"/>
    <x v="2"/>
    <s v="Male"/>
    <x v="1"/>
  </r>
  <r>
    <x v="3"/>
    <n v="37250"/>
    <x v="2"/>
    <s v="Female"/>
    <x v="1"/>
  </r>
  <r>
    <x v="3"/>
    <n v="33001"/>
    <x v="3"/>
    <s v="Male"/>
    <x v="1"/>
  </r>
  <r>
    <x v="3"/>
    <n v="29874"/>
    <x v="3"/>
    <s v="Female"/>
    <x v="1"/>
  </r>
  <r>
    <x v="3"/>
    <n v="36516"/>
    <x v="4"/>
    <s v="Male"/>
    <x v="1"/>
  </r>
  <r>
    <x v="3"/>
    <n v="34112"/>
    <x v="4"/>
    <s v="Female"/>
    <x v="1"/>
  </r>
  <r>
    <x v="3"/>
    <n v="38913"/>
    <x v="5"/>
    <s v="Male"/>
    <x v="1"/>
  </r>
  <r>
    <x v="3"/>
    <n v="36381"/>
    <x v="5"/>
    <s v="Female"/>
    <x v="1"/>
  </r>
  <r>
    <x v="3"/>
    <n v="39466"/>
    <x v="6"/>
    <s v="Male"/>
    <x v="1"/>
  </r>
  <r>
    <x v="3"/>
    <n v="37379"/>
    <x v="6"/>
    <s v="Female"/>
    <x v="1"/>
  </r>
  <r>
    <x v="3"/>
    <n v="39050"/>
    <x v="7"/>
    <s v="Male"/>
    <x v="1"/>
  </r>
  <r>
    <x v="3"/>
    <n v="36036"/>
    <x v="7"/>
    <s v="Female"/>
    <x v="1"/>
  </r>
  <r>
    <x v="3"/>
    <n v="38039"/>
    <x v="8"/>
    <s v="Male"/>
    <x v="1"/>
  </r>
  <r>
    <x v="3"/>
    <n v="36707"/>
    <x v="8"/>
    <s v="Female"/>
    <x v="1"/>
  </r>
  <r>
    <x v="3"/>
    <n v="33377"/>
    <x v="9"/>
    <s v="Male"/>
    <x v="1"/>
  </r>
  <r>
    <x v="3"/>
    <n v="33678"/>
    <x v="9"/>
    <s v="Female"/>
    <x v="1"/>
  </r>
  <r>
    <x v="3"/>
    <n v="29176"/>
    <x v="10"/>
    <s v="Male"/>
    <x v="1"/>
  </r>
  <r>
    <x v="3"/>
    <n v="30962"/>
    <x v="10"/>
    <s v="Female"/>
    <x v="1"/>
  </r>
  <r>
    <x v="3"/>
    <n v="27532"/>
    <x v="11"/>
    <s v="Male"/>
    <x v="1"/>
  </r>
  <r>
    <x v="3"/>
    <n v="29140"/>
    <x v="11"/>
    <s v="Female"/>
    <x v="1"/>
  </r>
  <r>
    <x v="3"/>
    <n v="24093"/>
    <x v="12"/>
    <s v="Male"/>
    <x v="1"/>
  </r>
  <r>
    <x v="3"/>
    <n v="26664"/>
    <x v="12"/>
    <s v="Female"/>
    <x v="1"/>
  </r>
  <r>
    <x v="3"/>
    <n v="39083"/>
    <x v="0"/>
    <s v="Male"/>
    <x v="2"/>
  </r>
  <r>
    <x v="3"/>
    <n v="36163"/>
    <x v="0"/>
    <s v="Female"/>
    <x v="2"/>
  </r>
  <r>
    <x v="3"/>
    <n v="34871"/>
    <x v="1"/>
    <s v="Male"/>
    <x v="2"/>
  </r>
  <r>
    <x v="3"/>
    <n v="30197"/>
    <x v="1"/>
    <s v="Female"/>
    <x v="2"/>
  </r>
  <r>
    <x v="3"/>
    <n v="42670"/>
    <x v="2"/>
    <s v="Male"/>
    <x v="2"/>
  </r>
  <r>
    <x v="3"/>
    <n v="40311"/>
    <x v="2"/>
    <s v="Female"/>
    <x v="2"/>
  </r>
  <r>
    <x v="3"/>
    <n v="40021"/>
    <x v="3"/>
    <s v="Male"/>
    <x v="2"/>
  </r>
  <r>
    <x v="3"/>
    <n v="37160"/>
    <x v="3"/>
    <s v="Female"/>
    <x v="2"/>
  </r>
  <r>
    <x v="3"/>
    <n v="32833"/>
    <x v="4"/>
    <s v="Male"/>
    <x v="2"/>
  </r>
  <r>
    <x v="3"/>
    <n v="29856"/>
    <x v="4"/>
    <s v="Female"/>
    <x v="2"/>
  </r>
  <r>
    <x v="3"/>
    <n v="36342"/>
    <x v="5"/>
    <s v="Male"/>
    <x v="2"/>
  </r>
  <r>
    <x v="3"/>
    <n v="34025"/>
    <x v="5"/>
    <s v="Female"/>
    <x v="2"/>
  </r>
  <r>
    <x v="3"/>
    <n v="38537"/>
    <x v="6"/>
    <s v="Male"/>
    <x v="2"/>
  </r>
  <r>
    <x v="3"/>
    <n v="36250"/>
    <x v="6"/>
    <s v="Female"/>
    <x v="2"/>
  </r>
  <r>
    <x v="3"/>
    <n v="39534"/>
    <x v="7"/>
    <s v="Male"/>
    <x v="2"/>
  </r>
  <r>
    <x v="3"/>
    <n v="36985"/>
    <x v="7"/>
    <s v="Female"/>
    <x v="2"/>
  </r>
  <r>
    <x v="3"/>
    <n v="38132"/>
    <x v="8"/>
    <s v="Male"/>
    <x v="2"/>
  </r>
  <r>
    <x v="3"/>
    <n v="35942"/>
    <x v="8"/>
    <s v="Female"/>
    <x v="2"/>
  </r>
  <r>
    <x v="3"/>
    <n v="36992"/>
    <x v="9"/>
    <s v="Male"/>
    <x v="2"/>
  </r>
  <r>
    <x v="3"/>
    <n v="36483"/>
    <x v="9"/>
    <s v="Female"/>
    <x v="2"/>
  </r>
  <r>
    <x v="3"/>
    <n v="32330"/>
    <x v="10"/>
    <s v="Male"/>
    <x v="2"/>
  </r>
  <r>
    <x v="3"/>
    <n v="33427"/>
    <x v="10"/>
    <s v="Female"/>
    <x v="2"/>
  </r>
  <r>
    <x v="3"/>
    <n v="29446"/>
    <x v="11"/>
    <s v="Male"/>
    <x v="2"/>
  </r>
  <r>
    <x v="3"/>
    <n v="31485"/>
    <x v="11"/>
    <s v="Female"/>
    <x v="2"/>
  </r>
  <r>
    <x v="3"/>
    <n v="25836"/>
    <x v="12"/>
    <s v="Male"/>
    <x v="2"/>
  </r>
  <r>
    <x v="3"/>
    <n v="28411"/>
    <x v="12"/>
    <s v="Female"/>
    <x v="2"/>
  </r>
  <r>
    <x v="4"/>
    <n v="135584"/>
    <x v="0"/>
    <s v="Male"/>
    <x v="0"/>
  </r>
  <r>
    <x v="4"/>
    <n v="128086"/>
    <x v="0"/>
    <s v="Female"/>
    <x v="0"/>
  </r>
  <r>
    <x v="4"/>
    <n v="130876"/>
    <x v="1"/>
    <s v="Male"/>
    <x v="0"/>
  </r>
  <r>
    <x v="4"/>
    <n v="119485"/>
    <x v="1"/>
    <s v="Female"/>
    <x v="0"/>
  </r>
  <r>
    <x v="4"/>
    <n v="106671"/>
    <x v="2"/>
    <s v="Male"/>
    <x v="0"/>
  </r>
  <r>
    <x v="4"/>
    <n v="96453"/>
    <x v="2"/>
    <s v="Female"/>
    <x v="0"/>
  </r>
  <r>
    <x v="4"/>
    <n v="116300"/>
    <x v="3"/>
    <s v="Male"/>
    <x v="0"/>
  </r>
  <r>
    <x v="4"/>
    <n v="108356"/>
    <x v="3"/>
    <s v="Female"/>
    <x v="0"/>
  </r>
  <r>
    <x v="4"/>
    <n v="122237"/>
    <x v="4"/>
    <s v="Male"/>
    <x v="0"/>
  </r>
  <r>
    <x v="4"/>
    <n v="113848"/>
    <x v="4"/>
    <s v="Female"/>
    <x v="0"/>
  </r>
  <r>
    <x v="4"/>
    <n v="129408"/>
    <x v="5"/>
    <s v="Male"/>
    <x v="0"/>
  </r>
  <r>
    <x v="4"/>
    <n v="121314"/>
    <x v="5"/>
    <s v="Female"/>
    <x v="0"/>
  </r>
  <r>
    <x v="4"/>
    <n v="128479"/>
    <x v="6"/>
    <s v="Male"/>
    <x v="0"/>
  </r>
  <r>
    <x v="4"/>
    <n v="119709"/>
    <x v="6"/>
    <s v="Female"/>
    <x v="0"/>
  </r>
  <r>
    <x v="4"/>
    <n v="130003"/>
    <x v="7"/>
    <s v="Male"/>
    <x v="0"/>
  </r>
  <r>
    <x v="4"/>
    <n v="121132"/>
    <x v="7"/>
    <s v="Female"/>
    <x v="0"/>
  </r>
  <r>
    <x v="4"/>
    <n v="116914"/>
    <x v="8"/>
    <s v="Male"/>
    <x v="0"/>
  </r>
  <r>
    <x v="4"/>
    <n v="114183"/>
    <x v="8"/>
    <s v="Female"/>
    <x v="0"/>
  </r>
  <r>
    <x v="4"/>
    <n v="105507"/>
    <x v="9"/>
    <s v="Male"/>
    <x v="0"/>
  </r>
  <r>
    <x v="4"/>
    <n v="107297"/>
    <x v="9"/>
    <s v="Female"/>
    <x v="0"/>
  </r>
  <r>
    <x v="4"/>
    <n v="96547"/>
    <x v="10"/>
    <s v="Male"/>
    <x v="0"/>
  </r>
  <r>
    <x v="4"/>
    <n v="100670"/>
    <x v="10"/>
    <s v="Female"/>
    <x v="0"/>
  </r>
  <r>
    <x v="4"/>
    <n v="90438"/>
    <x v="11"/>
    <s v="Male"/>
    <x v="0"/>
  </r>
  <r>
    <x v="4"/>
    <n v="92950"/>
    <x v="11"/>
    <s v="Female"/>
    <x v="0"/>
  </r>
  <r>
    <x v="4"/>
    <n v="77399"/>
    <x v="12"/>
    <s v="Male"/>
    <x v="0"/>
  </r>
  <r>
    <x v="4"/>
    <n v="83207"/>
    <x v="12"/>
    <s v="Female"/>
    <x v="0"/>
  </r>
  <r>
    <x v="4"/>
    <n v="111763"/>
    <x v="0"/>
    <s v="Male"/>
    <x v="1"/>
  </r>
  <r>
    <x v="4"/>
    <n v="99093"/>
    <x v="0"/>
    <s v="Female"/>
    <x v="1"/>
  </r>
  <r>
    <x v="4"/>
    <n v="137722"/>
    <x v="1"/>
    <s v="Male"/>
    <x v="1"/>
  </r>
  <r>
    <x v="4"/>
    <n v="129045"/>
    <x v="1"/>
    <s v="Female"/>
    <x v="1"/>
  </r>
  <r>
    <x v="4"/>
    <n v="128656"/>
    <x v="2"/>
    <s v="Male"/>
    <x v="1"/>
  </r>
  <r>
    <x v="4"/>
    <n v="118463"/>
    <x v="2"/>
    <s v="Female"/>
    <x v="1"/>
  </r>
  <r>
    <x v="4"/>
    <n v="106349"/>
    <x v="3"/>
    <s v="Male"/>
    <x v="1"/>
  </r>
  <r>
    <x v="4"/>
    <n v="96763"/>
    <x v="3"/>
    <s v="Female"/>
    <x v="1"/>
  </r>
  <r>
    <x v="4"/>
    <n v="115883"/>
    <x v="4"/>
    <s v="Male"/>
    <x v="1"/>
  </r>
  <r>
    <x v="4"/>
    <n v="108449"/>
    <x v="4"/>
    <s v="Female"/>
    <x v="1"/>
  </r>
  <r>
    <x v="4"/>
    <n v="121484"/>
    <x v="5"/>
    <s v="Male"/>
    <x v="1"/>
  </r>
  <r>
    <x v="4"/>
    <n v="113799"/>
    <x v="5"/>
    <s v="Female"/>
    <x v="1"/>
  </r>
  <r>
    <x v="4"/>
    <n v="127376"/>
    <x v="6"/>
    <s v="Male"/>
    <x v="1"/>
  </r>
  <r>
    <x v="4"/>
    <n v="120832"/>
    <x v="6"/>
    <s v="Female"/>
    <x v="1"/>
  </r>
  <r>
    <x v="4"/>
    <n v="127664"/>
    <x v="7"/>
    <s v="Male"/>
    <x v="1"/>
  </r>
  <r>
    <x v="4"/>
    <n v="118988"/>
    <x v="7"/>
    <s v="Female"/>
    <x v="1"/>
  </r>
  <r>
    <x v="4"/>
    <n v="123769"/>
    <x v="8"/>
    <s v="Male"/>
    <x v="1"/>
  </r>
  <r>
    <x v="4"/>
    <n v="118809"/>
    <x v="8"/>
    <s v="Female"/>
    <x v="1"/>
  </r>
  <r>
    <x v="4"/>
    <n v="110871"/>
    <x v="9"/>
    <s v="Male"/>
    <x v="1"/>
  </r>
  <r>
    <x v="4"/>
    <n v="111443"/>
    <x v="9"/>
    <s v="Female"/>
    <x v="1"/>
  </r>
  <r>
    <x v="4"/>
    <n v="99517"/>
    <x v="10"/>
    <s v="Male"/>
    <x v="1"/>
  </r>
  <r>
    <x v="4"/>
    <n v="103883"/>
    <x v="10"/>
    <s v="Female"/>
    <x v="1"/>
  </r>
  <r>
    <x v="4"/>
    <n v="93521"/>
    <x v="11"/>
    <s v="Male"/>
    <x v="1"/>
  </r>
  <r>
    <x v="4"/>
    <n v="96395"/>
    <x v="11"/>
    <s v="Female"/>
    <x v="1"/>
  </r>
  <r>
    <x v="4"/>
    <n v="81810"/>
    <x v="12"/>
    <s v="Male"/>
    <x v="1"/>
  </r>
  <r>
    <x v="4"/>
    <n v="85789"/>
    <x v="12"/>
    <s v="Female"/>
    <x v="1"/>
  </r>
  <r>
    <x v="4"/>
    <n v="112805"/>
    <x v="0"/>
    <s v="Male"/>
    <x v="2"/>
  </r>
  <r>
    <x v="4"/>
    <n v="105468"/>
    <x v="0"/>
    <s v="Female"/>
    <x v="2"/>
  </r>
  <r>
    <x v="4"/>
    <n v="110494"/>
    <x v="1"/>
    <s v="Male"/>
    <x v="2"/>
  </r>
  <r>
    <x v="4"/>
    <n v="97026"/>
    <x v="1"/>
    <s v="Female"/>
    <x v="2"/>
  </r>
  <r>
    <x v="4"/>
    <n v="129776"/>
    <x v="2"/>
    <s v="Male"/>
    <x v="2"/>
  </r>
  <r>
    <x v="4"/>
    <n v="123024"/>
    <x v="2"/>
    <s v="Female"/>
    <x v="2"/>
  </r>
  <r>
    <x v="4"/>
    <n v="123221"/>
    <x v="3"/>
    <s v="Male"/>
    <x v="2"/>
  </r>
  <r>
    <x v="4"/>
    <n v="114611"/>
    <x v="3"/>
    <s v="Female"/>
    <x v="2"/>
  </r>
  <r>
    <x v="4"/>
    <n v="102284"/>
    <x v="4"/>
    <s v="Male"/>
    <x v="2"/>
  </r>
  <r>
    <x v="4"/>
    <n v="94072"/>
    <x v="4"/>
    <s v="Female"/>
    <x v="2"/>
  </r>
  <r>
    <x v="4"/>
    <n v="112317"/>
    <x v="5"/>
    <s v="Male"/>
    <x v="2"/>
  </r>
  <r>
    <x v="4"/>
    <n v="106070"/>
    <x v="5"/>
    <s v="Female"/>
    <x v="2"/>
  </r>
  <r>
    <x v="4"/>
    <n v="117152"/>
    <x v="6"/>
    <s v="Male"/>
    <x v="2"/>
  </r>
  <r>
    <x v="4"/>
    <n v="111315"/>
    <x v="6"/>
    <s v="Female"/>
    <x v="2"/>
  </r>
  <r>
    <x v="4"/>
    <n v="117446"/>
    <x v="7"/>
    <s v="Male"/>
    <x v="2"/>
  </r>
  <r>
    <x v="4"/>
    <n v="113439"/>
    <x v="7"/>
    <s v="Female"/>
    <x v="2"/>
  </r>
  <r>
    <x v="4"/>
    <n v="118539"/>
    <x v="8"/>
    <s v="Male"/>
    <x v="2"/>
  </r>
  <r>
    <x v="4"/>
    <n v="114009"/>
    <x v="8"/>
    <s v="Female"/>
    <x v="2"/>
  </r>
  <r>
    <x v="4"/>
    <n v="114429"/>
    <x v="9"/>
    <s v="Male"/>
    <x v="2"/>
  </r>
  <r>
    <x v="4"/>
    <n v="113656"/>
    <x v="9"/>
    <s v="Female"/>
    <x v="2"/>
  </r>
  <r>
    <x v="4"/>
    <n v="103352"/>
    <x v="10"/>
    <s v="Male"/>
    <x v="2"/>
  </r>
  <r>
    <x v="4"/>
    <n v="107324"/>
    <x v="10"/>
    <s v="Female"/>
    <x v="2"/>
  </r>
  <r>
    <x v="4"/>
    <n v="92800"/>
    <x v="11"/>
    <s v="Male"/>
    <x v="2"/>
  </r>
  <r>
    <x v="4"/>
    <n v="99820"/>
    <x v="11"/>
    <s v="Female"/>
    <x v="2"/>
  </r>
  <r>
    <x v="4"/>
    <n v="83390"/>
    <x v="12"/>
    <s v="Male"/>
    <x v="2"/>
  </r>
  <r>
    <x v="4"/>
    <n v="88990"/>
    <x v="12"/>
    <s v="Female"/>
    <x v="2"/>
  </r>
  <r>
    <x v="5"/>
    <n v="176955"/>
    <x v="0"/>
    <s v="Male"/>
    <x v="0"/>
  </r>
  <r>
    <x v="5"/>
    <n v="166394"/>
    <x v="0"/>
    <s v="Female"/>
    <x v="0"/>
  </r>
  <r>
    <x v="5"/>
    <n v="173034"/>
    <x v="1"/>
    <s v="Male"/>
    <x v="0"/>
  </r>
  <r>
    <x v="5"/>
    <n v="158665"/>
    <x v="1"/>
    <s v="Female"/>
    <x v="0"/>
  </r>
  <r>
    <x v="5"/>
    <n v="140734"/>
    <x v="2"/>
    <s v="Male"/>
    <x v="0"/>
  </r>
  <r>
    <x v="5"/>
    <n v="127163"/>
    <x v="2"/>
    <s v="Female"/>
    <x v="0"/>
  </r>
  <r>
    <x v="5"/>
    <n v="147986"/>
    <x v="3"/>
    <s v="Male"/>
    <x v="0"/>
  </r>
  <r>
    <x v="5"/>
    <n v="138703"/>
    <x v="3"/>
    <s v="Female"/>
    <x v="0"/>
  </r>
  <r>
    <x v="5"/>
    <n v="161188"/>
    <x v="4"/>
    <s v="Male"/>
    <x v="0"/>
  </r>
  <r>
    <x v="5"/>
    <n v="151626"/>
    <x v="4"/>
    <s v="Female"/>
    <x v="0"/>
  </r>
  <r>
    <x v="5"/>
    <n v="166406"/>
    <x v="5"/>
    <s v="Male"/>
    <x v="0"/>
  </r>
  <r>
    <x v="5"/>
    <n v="155958"/>
    <x v="5"/>
    <s v="Female"/>
    <x v="0"/>
  </r>
  <r>
    <x v="5"/>
    <n v="164843"/>
    <x v="6"/>
    <s v="Male"/>
    <x v="0"/>
  </r>
  <r>
    <x v="5"/>
    <n v="155103"/>
    <x v="6"/>
    <s v="Female"/>
    <x v="0"/>
  </r>
  <r>
    <x v="5"/>
    <n v="176747"/>
    <x v="7"/>
    <s v="Male"/>
    <x v="0"/>
  </r>
  <r>
    <x v="5"/>
    <n v="162220"/>
    <x v="7"/>
    <s v="Female"/>
    <x v="0"/>
  </r>
  <r>
    <x v="5"/>
    <n v="155399"/>
    <x v="8"/>
    <s v="Male"/>
    <x v="0"/>
  </r>
  <r>
    <x v="5"/>
    <n v="151018"/>
    <x v="8"/>
    <s v="Female"/>
    <x v="0"/>
  </r>
  <r>
    <x v="5"/>
    <n v="137862"/>
    <x v="9"/>
    <s v="Male"/>
    <x v="0"/>
  </r>
  <r>
    <x v="5"/>
    <n v="139374"/>
    <x v="9"/>
    <s v="Female"/>
    <x v="0"/>
  </r>
  <r>
    <x v="5"/>
    <n v="125045"/>
    <x v="10"/>
    <s v="Male"/>
    <x v="0"/>
  </r>
  <r>
    <x v="5"/>
    <n v="130182"/>
    <x v="10"/>
    <s v="Female"/>
    <x v="0"/>
  </r>
  <r>
    <x v="5"/>
    <n v="113219"/>
    <x v="11"/>
    <s v="Male"/>
    <x v="0"/>
  </r>
  <r>
    <x v="5"/>
    <n v="120617"/>
    <x v="11"/>
    <s v="Female"/>
    <x v="0"/>
  </r>
  <r>
    <x v="5"/>
    <n v="95854"/>
    <x v="12"/>
    <s v="Male"/>
    <x v="0"/>
  </r>
  <r>
    <x v="5"/>
    <n v="104704"/>
    <x v="12"/>
    <s v="Female"/>
    <x v="0"/>
  </r>
  <r>
    <x v="5"/>
    <n v="148658"/>
    <x v="0"/>
    <s v="Male"/>
    <x v="1"/>
  </r>
  <r>
    <x v="5"/>
    <n v="134593"/>
    <x v="0"/>
    <s v="Female"/>
    <x v="1"/>
  </r>
  <r>
    <x v="5"/>
    <n v="180652"/>
    <x v="1"/>
    <s v="Male"/>
    <x v="1"/>
  </r>
  <r>
    <x v="5"/>
    <n v="168750"/>
    <x v="1"/>
    <s v="Female"/>
    <x v="1"/>
  </r>
  <r>
    <x v="5"/>
    <n v="171104"/>
    <x v="2"/>
    <s v="Male"/>
    <x v="1"/>
  </r>
  <r>
    <x v="5"/>
    <n v="158208"/>
    <x v="2"/>
    <s v="Female"/>
    <x v="1"/>
  </r>
  <r>
    <x v="5"/>
    <n v="141426"/>
    <x v="3"/>
    <s v="Male"/>
    <x v="1"/>
  </r>
  <r>
    <x v="5"/>
    <n v="128191"/>
    <x v="3"/>
    <s v="Female"/>
    <x v="1"/>
  </r>
  <r>
    <x v="5"/>
    <n v="148100"/>
    <x v="4"/>
    <s v="Male"/>
    <x v="1"/>
  </r>
  <r>
    <x v="5"/>
    <n v="139152"/>
    <x v="4"/>
    <s v="Female"/>
    <x v="1"/>
  </r>
  <r>
    <x v="5"/>
    <n v="160965"/>
    <x v="5"/>
    <s v="Male"/>
    <x v="1"/>
  </r>
  <r>
    <x v="5"/>
    <n v="151902"/>
    <x v="5"/>
    <s v="Female"/>
    <x v="1"/>
  </r>
  <r>
    <x v="5"/>
    <n v="164264"/>
    <x v="6"/>
    <s v="Male"/>
    <x v="1"/>
  </r>
  <r>
    <x v="5"/>
    <n v="155965"/>
    <x v="6"/>
    <s v="Female"/>
    <x v="1"/>
  </r>
  <r>
    <x v="5"/>
    <n v="167945"/>
    <x v="7"/>
    <s v="Male"/>
    <x v="1"/>
  </r>
  <r>
    <x v="5"/>
    <n v="156116"/>
    <x v="7"/>
    <s v="Female"/>
    <x v="1"/>
  </r>
  <r>
    <x v="5"/>
    <n v="167648"/>
    <x v="8"/>
    <s v="Male"/>
    <x v="1"/>
  </r>
  <r>
    <x v="5"/>
    <n v="159528"/>
    <x v="8"/>
    <s v="Female"/>
    <x v="1"/>
  </r>
  <r>
    <x v="5"/>
    <n v="148609"/>
    <x v="9"/>
    <s v="Male"/>
    <x v="1"/>
  </r>
  <r>
    <x v="5"/>
    <n v="147668"/>
    <x v="9"/>
    <s v="Female"/>
    <x v="1"/>
  </r>
  <r>
    <x v="5"/>
    <n v="130226"/>
    <x v="10"/>
    <s v="Male"/>
    <x v="1"/>
  </r>
  <r>
    <x v="5"/>
    <n v="135169"/>
    <x v="10"/>
    <s v="Female"/>
    <x v="1"/>
  </r>
  <r>
    <x v="5"/>
    <n v="118299"/>
    <x v="11"/>
    <s v="Male"/>
    <x v="1"/>
  </r>
  <r>
    <x v="5"/>
    <n v="123443"/>
    <x v="11"/>
    <s v="Female"/>
    <x v="1"/>
  </r>
  <r>
    <x v="5"/>
    <n v="103271"/>
    <x v="12"/>
    <s v="Male"/>
    <x v="1"/>
  </r>
  <r>
    <x v="5"/>
    <n v="112317"/>
    <x v="12"/>
    <s v="Female"/>
    <x v="1"/>
  </r>
  <r>
    <x v="5"/>
    <n v="144238"/>
    <x v="0"/>
    <s v="Male"/>
    <x v="2"/>
  </r>
  <r>
    <x v="5"/>
    <n v="135306"/>
    <x v="0"/>
    <s v="Female"/>
    <x v="2"/>
  </r>
  <r>
    <x v="5"/>
    <n v="145801"/>
    <x v="1"/>
    <s v="Male"/>
    <x v="2"/>
  </r>
  <r>
    <x v="5"/>
    <n v="130083"/>
    <x v="1"/>
    <s v="Female"/>
    <x v="2"/>
  </r>
  <r>
    <x v="5"/>
    <n v="167717"/>
    <x v="2"/>
    <s v="Male"/>
    <x v="2"/>
  </r>
  <r>
    <x v="5"/>
    <n v="159177"/>
    <x v="2"/>
    <s v="Female"/>
    <x v="2"/>
  </r>
  <r>
    <x v="5"/>
    <n v="161224"/>
    <x v="3"/>
    <s v="Male"/>
    <x v="2"/>
  </r>
  <r>
    <x v="5"/>
    <n v="150599"/>
    <x v="3"/>
    <s v="Female"/>
    <x v="2"/>
  </r>
  <r>
    <x v="5"/>
    <n v="132911"/>
    <x v="4"/>
    <s v="Male"/>
    <x v="2"/>
  </r>
  <r>
    <x v="5"/>
    <n v="122164"/>
    <x v="4"/>
    <s v="Female"/>
    <x v="2"/>
  </r>
  <r>
    <x v="5"/>
    <n v="141031"/>
    <x v="5"/>
    <s v="Male"/>
    <x v="2"/>
  </r>
  <r>
    <x v="5"/>
    <n v="134282"/>
    <x v="5"/>
    <s v="Female"/>
    <x v="2"/>
  </r>
  <r>
    <x v="5"/>
    <n v="152657"/>
    <x v="6"/>
    <s v="Male"/>
    <x v="2"/>
  </r>
  <r>
    <x v="5"/>
    <n v="146244"/>
    <x v="6"/>
    <s v="Female"/>
    <x v="2"/>
  </r>
  <r>
    <x v="5"/>
    <n v="150145"/>
    <x v="7"/>
    <s v="Male"/>
    <x v="2"/>
  </r>
  <r>
    <x v="5"/>
    <n v="143934"/>
    <x v="7"/>
    <s v="Female"/>
    <x v="2"/>
  </r>
  <r>
    <x v="5"/>
    <n v="153517"/>
    <x v="8"/>
    <s v="Male"/>
    <x v="2"/>
  </r>
  <r>
    <x v="5"/>
    <n v="147888"/>
    <x v="8"/>
    <s v="Female"/>
    <x v="2"/>
  </r>
  <r>
    <x v="5"/>
    <n v="153342"/>
    <x v="9"/>
    <s v="Male"/>
    <x v="2"/>
  </r>
  <r>
    <x v="5"/>
    <n v="151504"/>
    <x v="9"/>
    <s v="Female"/>
    <x v="2"/>
  </r>
  <r>
    <x v="5"/>
    <n v="136363"/>
    <x v="10"/>
    <s v="Male"/>
    <x v="2"/>
  </r>
  <r>
    <x v="5"/>
    <n v="140995"/>
    <x v="10"/>
    <s v="Female"/>
    <x v="2"/>
  </r>
  <r>
    <x v="5"/>
    <n v="113537"/>
    <x v="11"/>
    <s v="Male"/>
    <x v="2"/>
  </r>
  <r>
    <x v="5"/>
    <n v="122388"/>
    <x v="11"/>
    <s v="Female"/>
    <x v="2"/>
  </r>
  <r>
    <x v="5"/>
    <n v="103760"/>
    <x v="12"/>
    <s v="Male"/>
    <x v="2"/>
  </r>
  <r>
    <x v="5"/>
    <n v="112183"/>
    <x v="12"/>
    <s v="Female"/>
    <x v="2"/>
  </r>
  <r>
    <x v="6"/>
    <n v="41350"/>
    <x v="0"/>
    <s v="Male"/>
    <x v="0"/>
  </r>
  <r>
    <x v="6"/>
    <n v="38474"/>
    <x v="0"/>
    <s v="Female"/>
    <x v="0"/>
  </r>
  <r>
    <x v="6"/>
    <n v="41429"/>
    <x v="1"/>
    <s v="Male"/>
    <x v="0"/>
  </r>
  <r>
    <x v="6"/>
    <n v="37580"/>
    <x v="1"/>
    <s v="Female"/>
    <x v="0"/>
  </r>
  <r>
    <x v="6"/>
    <n v="34425"/>
    <x v="2"/>
    <s v="Male"/>
    <x v="0"/>
  </r>
  <r>
    <x v="6"/>
    <n v="31043"/>
    <x v="2"/>
    <s v="Female"/>
    <x v="0"/>
  </r>
  <r>
    <x v="6"/>
    <n v="37658"/>
    <x v="3"/>
    <s v="Male"/>
    <x v="0"/>
  </r>
  <r>
    <x v="6"/>
    <n v="34637"/>
    <x v="3"/>
    <s v="Female"/>
    <x v="0"/>
  </r>
  <r>
    <x v="6"/>
    <n v="37865"/>
    <x v="4"/>
    <s v="Male"/>
    <x v="0"/>
  </r>
  <r>
    <x v="6"/>
    <n v="35415"/>
    <x v="4"/>
    <s v="Female"/>
    <x v="0"/>
  </r>
  <r>
    <x v="6"/>
    <n v="39096"/>
    <x v="5"/>
    <s v="Male"/>
    <x v="0"/>
  </r>
  <r>
    <x v="6"/>
    <n v="36698"/>
    <x v="5"/>
    <s v="Female"/>
    <x v="0"/>
  </r>
  <r>
    <x v="6"/>
    <n v="38406"/>
    <x v="6"/>
    <s v="Male"/>
    <x v="0"/>
  </r>
  <r>
    <x v="6"/>
    <n v="35939"/>
    <x v="6"/>
    <s v="Female"/>
    <x v="0"/>
  </r>
  <r>
    <x v="6"/>
    <n v="41909"/>
    <x v="7"/>
    <s v="Male"/>
    <x v="0"/>
  </r>
  <r>
    <x v="6"/>
    <n v="37672"/>
    <x v="7"/>
    <s v="Female"/>
    <x v="0"/>
  </r>
  <r>
    <x v="6"/>
    <n v="36518"/>
    <x v="8"/>
    <s v="Male"/>
    <x v="0"/>
  </r>
  <r>
    <x v="6"/>
    <n v="36202"/>
    <x v="8"/>
    <s v="Female"/>
    <x v="0"/>
  </r>
  <r>
    <x v="6"/>
    <n v="31405"/>
    <x v="9"/>
    <s v="Male"/>
    <x v="0"/>
  </r>
  <r>
    <x v="6"/>
    <n v="31768"/>
    <x v="9"/>
    <s v="Female"/>
    <x v="0"/>
  </r>
  <r>
    <x v="6"/>
    <n v="27576"/>
    <x v="10"/>
    <s v="Male"/>
    <x v="0"/>
  </r>
  <r>
    <x v="6"/>
    <n v="29770"/>
    <x v="10"/>
    <s v="Female"/>
    <x v="0"/>
  </r>
  <r>
    <x v="6"/>
    <n v="23815"/>
    <x v="11"/>
    <s v="Male"/>
    <x v="0"/>
  </r>
  <r>
    <x v="6"/>
    <n v="25995"/>
    <x v="11"/>
    <s v="Female"/>
    <x v="0"/>
  </r>
  <r>
    <x v="6"/>
    <n v="19740"/>
    <x v="12"/>
    <s v="Male"/>
    <x v="0"/>
  </r>
  <r>
    <x v="6"/>
    <n v="22637"/>
    <x v="12"/>
    <s v="Female"/>
    <x v="0"/>
  </r>
  <r>
    <x v="6"/>
    <n v="35179"/>
    <x v="0"/>
    <s v="Male"/>
    <x v="1"/>
  </r>
  <r>
    <x v="6"/>
    <n v="31773"/>
    <x v="0"/>
    <s v="Female"/>
    <x v="1"/>
  </r>
  <r>
    <x v="6"/>
    <n v="43884"/>
    <x v="1"/>
    <s v="Male"/>
    <x v="1"/>
  </r>
  <r>
    <x v="6"/>
    <n v="39686"/>
    <x v="1"/>
    <s v="Female"/>
    <x v="1"/>
  </r>
  <r>
    <x v="6"/>
    <n v="39992"/>
    <x v="2"/>
    <s v="Male"/>
    <x v="1"/>
  </r>
  <r>
    <x v="6"/>
    <n v="36861"/>
    <x v="2"/>
    <s v="Female"/>
    <x v="1"/>
  </r>
  <r>
    <x v="6"/>
    <n v="34001"/>
    <x v="3"/>
    <s v="Male"/>
    <x v="1"/>
  </r>
  <r>
    <x v="6"/>
    <n v="30968"/>
    <x v="3"/>
    <s v="Female"/>
    <x v="1"/>
  </r>
  <r>
    <x v="6"/>
    <n v="37018"/>
    <x v="4"/>
    <s v="Male"/>
    <x v="1"/>
  </r>
  <r>
    <x v="6"/>
    <n v="34406"/>
    <x v="4"/>
    <s v="Female"/>
    <x v="1"/>
  </r>
  <r>
    <x v="6"/>
    <n v="37507"/>
    <x v="5"/>
    <s v="Male"/>
    <x v="1"/>
  </r>
  <r>
    <x v="6"/>
    <n v="35289"/>
    <x v="5"/>
    <s v="Female"/>
    <x v="1"/>
  </r>
  <r>
    <x v="6"/>
    <n v="38024"/>
    <x v="6"/>
    <s v="Male"/>
    <x v="1"/>
  </r>
  <r>
    <x v="6"/>
    <n v="36258"/>
    <x v="6"/>
    <s v="Female"/>
    <x v="1"/>
  </r>
  <r>
    <x v="6"/>
    <n v="37887"/>
    <x v="7"/>
    <s v="Male"/>
    <x v="1"/>
  </r>
  <r>
    <x v="6"/>
    <n v="35060"/>
    <x v="7"/>
    <s v="Female"/>
    <x v="1"/>
  </r>
  <r>
    <x v="6"/>
    <n v="38817"/>
    <x v="8"/>
    <s v="Male"/>
    <x v="1"/>
  </r>
  <r>
    <x v="6"/>
    <n v="36378"/>
    <x v="8"/>
    <s v="Female"/>
    <x v="1"/>
  </r>
  <r>
    <x v="6"/>
    <n v="33920"/>
    <x v="9"/>
    <s v="Male"/>
    <x v="1"/>
  </r>
  <r>
    <x v="6"/>
    <n v="34814"/>
    <x v="9"/>
    <s v="Female"/>
    <x v="1"/>
  </r>
  <r>
    <x v="6"/>
    <n v="29187"/>
    <x v="10"/>
    <s v="Male"/>
    <x v="1"/>
  </r>
  <r>
    <x v="6"/>
    <n v="30539"/>
    <x v="10"/>
    <s v="Female"/>
    <x v="1"/>
  </r>
  <r>
    <x v="6"/>
    <n v="25601"/>
    <x v="11"/>
    <s v="Male"/>
    <x v="1"/>
  </r>
  <r>
    <x v="6"/>
    <n v="27432"/>
    <x v="11"/>
    <s v="Female"/>
    <x v="1"/>
  </r>
  <r>
    <x v="6"/>
    <n v="21585"/>
    <x v="12"/>
    <s v="Male"/>
    <x v="1"/>
  </r>
  <r>
    <x v="6"/>
    <n v="24410"/>
    <x v="12"/>
    <s v="Female"/>
    <x v="1"/>
  </r>
  <r>
    <x v="6"/>
    <n v="38522"/>
    <x v="0"/>
    <s v="Male"/>
    <x v="2"/>
  </r>
  <r>
    <x v="6"/>
    <n v="35740"/>
    <x v="0"/>
    <s v="Female"/>
    <x v="2"/>
  </r>
  <r>
    <x v="6"/>
    <n v="38307"/>
    <x v="1"/>
    <s v="Male"/>
    <x v="2"/>
  </r>
  <r>
    <x v="6"/>
    <n v="33186"/>
    <x v="1"/>
    <s v="Female"/>
    <x v="2"/>
  </r>
  <r>
    <x v="6"/>
    <n v="41487"/>
    <x v="2"/>
    <s v="Male"/>
    <x v="2"/>
  </r>
  <r>
    <x v="6"/>
    <n v="38195"/>
    <x v="2"/>
    <s v="Female"/>
    <x v="2"/>
  </r>
  <r>
    <x v="6"/>
    <n v="38845"/>
    <x v="3"/>
    <s v="Male"/>
    <x v="2"/>
  </r>
  <r>
    <x v="6"/>
    <n v="36025"/>
    <x v="3"/>
    <s v="Female"/>
    <x v="2"/>
  </r>
  <r>
    <x v="6"/>
    <n v="32916"/>
    <x v="4"/>
    <s v="Male"/>
    <x v="2"/>
  </r>
  <r>
    <x v="6"/>
    <n v="30363"/>
    <x v="4"/>
    <s v="Female"/>
    <x v="2"/>
  </r>
  <r>
    <x v="6"/>
    <n v="36004"/>
    <x v="5"/>
    <s v="Male"/>
    <x v="2"/>
  </r>
  <r>
    <x v="6"/>
    <n v="33752"/>
    <x v="5"/>
    <s v="Female"/>
    <x v="2"/>
  </r>
  <r>
    <x v="6"/>
    <n v="36338"/>
    <x v="6"/>
    <s v="Male"/>
    <x v="2"/>
  </r>
  <r>
    <x v="6"/>
    <n v="34716"/>
    <x v="6"/>
    <s v="Female"/>
    <x v="2"/>
  </r>
  <r>
    <x v="6"/>
    <n v="35168"/>
    <x v="7"/>
    <s v="Male"/>
    <x v="2"/>
  </r>
  <r>
    <x v="6"/>
    <n v="33553"/>
    <x v="7"/>
    <s v="Female"/>
    <x v="2"/>
  </r>
  <r>
    <x v="6"/>
    <n v="35446"/>
    <x v="8"/>
    <s v="Male"/>
    <x v="2"/>
  </r>
  <r>
    <x v="6"/>
    <n v="33856"/>
    <x v="8"/>
    <s v="Female"/>
    <x v="2"/>
  </r>
  <r>
    <x v="6"/>
    <n v="35479"/>
    <x v="9"/>
    <s v="Male"/>
    <x v="2"/>
  </r>
  <r>
    <x v="6"/>
    <n v="34717"/>
    <x v="9"/>
    <s v="Female"/>
    <x v="2"/>
  </r>
  <r>
    <x v="6"/>
    <n v="31588"/>
    <x v="10"/>
    <s v="Male"/>
    <x v="2"/>
  </r>
  <r>
    <x v="6"/>
    <n v="33665"/>
    <x v="10"/>
    <s v="Female"/>
    <x v="2"/>
  </r>
  <r>
    <x v="6"/>
    <n v="26863"/>
    <x v="11"/>
    <s v="Male"/>
    <x v="2"/>
  </r>
  <r>
    <x v="6"/>
    <n v="29174"/>
    <x v="11"/>
    <s v="Female"/>
    <x v="2"/>
  </r>
  <r>
    <x v="6"/>
    <n v="23088"/>
    <x v="12"/>
    <s v="Male"/>
    <x v="2"/>
  </r>
  <r>
    <x v="6"/>
    <n v="25770"/>
    <x v="12"/>
    <s v="Female"/>
    <x v="2"/>
  </r>
  <r>
    <x v="7"/>
    <n v="80183"/>
    <x v="0"/>
    <s v="Male"/>
    <x v="0"/>
  </r>
  <r>
    <x v="7"/>
    <n v="73282"/>
    <x v="0"/>
    <s v="Female"/>
    <x v="0"/>
  </r>
  <r>
    <x v="7"/>
    <n v="82500"/>
    <x v="1"/>
    <s v="Male"/>
    <x v="0"/>
  </r>
  <r>
    <x v="7"/>
    <n v="74006"/>
    <x v="1"/>
    <s v="Female"/>
    <x v="0"/>
  </r>
  <r>
    <x v="7"/>
    <n v="67726"/>
    <x v="2"/>
    <s v="Male"/>
    <x v="0"/>
  </r>
  <r>
    <x v="7"/>
    <n v="59698"/>
    <x v="2"/>
    <s v="Female"/>
    <x v="0"/>
  </r>
  <r>
    <x v="7"/>
    <n v="72820"/>
    <x v="3"/>
    <s v="Male"/>
    <x v="0"/>
  </r>
  <r>
    <x v="7"/>
    <n v="66543"/>
    <x v="3"/>
    <s v="Female"/>
    <x v="0"/>
  </r>
  <r>
    <x v="7"/>
    <n v="72410"/>
    <x v="4"/>
    <s v="Male"/>
    <x v="0"/>
  </r>
  <r>
    <x v="7"/>
    <n v="66230"/>
    <x v="4"/>
    <s v="Female"/>
    <x v="0"/>
  </r>
  <r>
    <x v="7"/>
    <n v="76292"/>
    <x v="5"/>
    <s v="Male"/>
    <x v="0"/>
  </r>
  <r>
    <x v="7"/>
    <n v="70926"/>
    <x v="5"/>
    <s v="Female"/>
    <x v="0"/>
  </r>
  <r>
    <x v="7"/>
    <n v="79658"/>
    <x v="6"/>
    <s v="Male"/>
    <x v="0"/>
  </r>
  <r>
    <x v="7"/>
    <n v="72934"/>
    <x v="6"/>
    <s v="Female"/>
    <x v="0"/>
  </r>
  <r>
    <x v="7"/>
    <n v="92971"/>
    <x v="7"/>
    <s v="Male"/>
    <x v="0"/>
  </r>
  <r>
    <x v="7"/>
    <n v="81101"/>
    <x v="7"/>
    <s v="Female"/>
    <x v="0"/>
  </r>
  <r>
    <x v="7"/>
    <n v="78502"/>
    <x v="8"/>
    <s v="Male"/>
    <x v="0"/>
  </r>
  <r>
    <x v="7"/>
    <n v="76334"/>
    <x v="8"/>
    <s v="Female"/>
    <x v="0"/>
  </r>
  <r>
    <x v="7"/>
    <n v="65572"/>
    <x v="9"/>
    <s v="Male"/>
    <x v="0"/>
  </r>
  <r>
    <x v="7"/>
    <n v="68882"/>
    <x v="9"/>
    <s v="Female"/>
    <x v="0"/>
  </r>
  <r>
    <x v="7"/>
    <n v="56412"/>
    <x v="10"/>
    <s v="Male"/>
    <x v="0"/>
  </r>
  <r>
    <x v="7"/>
    <n v="62747"/>
    <x v="10"/>
    <s v="Female"/>
    <x v="0"/>
  </r>
  <r>
    <x v="7"/>
    <n v="49698"/>
    <x v="11"/>
    <s v="Male"/>
    <x v="0"/>
  </r>
  <r>
    <x v="7"/>
    <n v="55701"/>
    <x v="11"/>
    <s v="Female"/>
    <x v="0"/>
  </r>
  <r>
    <x v="7"/>
    <n v="41056"/>
    <x v="12"/>
    <s v="Male"/>
    <x v="0"/>
  </r>
  <r>
    <x v="7"/>
    <n v="48155"/>
    <x v="12"/>
    <s v="Female"/>
    <x v="0"/>
  </r>
  <r>
    <x v="7"/>
    <n v="71843"/>
    <x v="0"/>
    <s v="Male"/>
    <x v="1"/>
  </r>
  <r>
    <x v="7"/>
    <n v="64036"/>
    <x v="0"/>
    <s v="Female"/>
    <x v="1"/>
  </r>
  <r>
    <x v="7"/>
    <n v="83745"/>
    <x v="1"/>
    <s v="Male"/>
    <x v="1"/>
  </r>
  <r>
    <x v="7"/>
    <n v="74720"/>
    <x v="1"/>
    <s v="Female"/>
    <x v="1"/>
  </r>
  <r>
    <x v="7"/>
    <n v="78940"/>
    <x v="2"/>
    <s v="Male"/>
    <x v="1"/>
  </r>
  <r>
    <x v="7"/>
    <n v="72047"/>
    <x v="2"/>
    <s v="Female"/>
    <x v="1"/>
  </r>
  <r>
    <x v="7"/>
    <n v="66949"/>
    <x v="3"/>
    <s v="Male"/>
    <x v="1"/>
  </r>
  <r>
    <x v="7"/>
    <n v="59260"/>
    <x v="3"/>
    <s v="Female"/>
    <x v="1"/>
  </r>
  <r>
    <x v="7"/>
    <n v="71607"/>
    <x v="4"/>
    <s v="Male"/>
    <x v="1"/>
  </r>
  <r>
    <x v="7"/>
    <n v="65879"/>
    <x v="4"/>
    <s v="Female"/>
    <x v="1"/>
  </r>
  <r>
    <x v="7"/>
    <n v="71333"/>
    <x v="5"/>
    <s v="Male"/>
    <x v="1"/>
  </r>
  <r>
    <x v="7"/>
    <n v="65940"/>
    <x v="5"/>
    <s v="Female"/>
    <x v="1"/>
  </r>
  <r>
    <x v="7"/>
    <n v="74721"/>
    <x v="6"/>
    <s v="Male"/>
    <x v="1"/>
  </r>
  <r>
    <x v="7"/>
    <n v="70325"/>
    <x v="6"/>
    <s v="Female"/>
    <x v="1"/>
  </r>
  <r>
    <x v="7"/>
    <n v="79228"/>
    <x v="7"/>
    <s v="Male"/>
    <x v="1"/>
  </r>
  <r>
    <x v="7"/>
    <n v="71049"/>
    <x v="7"/>
    <s v="Female"/>
    <x v="1"/>
  </r>
  <r>
    <x v="7"/>
    <n v="84831"/>
    <x v="8"/>
    <s v="Male"/>
    <x v="1"/>
  </r>
  <r>
    <x v="7"/>
    <n v="78401"/>
    <x v="8"/>
    <s v="Female"/>
    <x v="1"/>
  </r>
  <r>
    <x v="7"/>
    <n v="71861"/>
    <x v="9"/>
    <s v="Male"/>
    <x v="1"/>
  </r>
  <r>
    <x v="7"/>
    <n v="73391"/>
    <x v="9"/>
    <s v="Female"/>
    <x v="1"/>
  </r>
  <r>
    <x v="7"/>
    <n v="59252"/>
    <x v="10"/>
    <s v="Male"/>
    <x v="1"/>
  </r>
  <r>
    <x v="7"/>
    <n v="65470"/>
    <x v="10"/>
    <s v="Female"/>
    <x v="1"/>
  </r>
  <r>
    <x v="7"/>
    <n v="51933"/>
    <x v="11"/>
    <s v="Male"/>
    <x v="1"/>
  </r>
  <r>
    <x v="7"/>
    <n v="57944"/>
    <x v="11"/>
    <s v="Female"/>
    <x v="1"/>
  </r>
  <r>
    <x v="7"/>
    <n v="45701"/>
    <x v="12"/>
    <s v="Male"/>
    <x v="1"/>
  </r>
  <r>
    <x v="7"/>
    <n v="52453"/>
    <x v="12"/>
    <s v="Female"/>
    <x v="1"/>
  </r>
  <r>
    <x v="7"/>
    <n v="67026"/>
    <x v="0"/>
    <s v="Male"/>
    <x v="2"/>
  </r>
  <r>
    <x v="7"/>
    <n v="61162"/>
    <x v="0"/>
    <s v="Female"/>
    <x v="2"/>
  </r>
  <r>
    <x v="7"/>
    <n v="73670"/>
    <x v="1"/>
    <s v="Male"/>
    <x v="2"/>
  </r>
  <r>
    <x v="7"/>
    <n v="63667"/>
    <x v="1"/>
    <s v="Female"/>
    <x v="2"/>
  </r>
  <r>
    <x v="7"/>
    <n v="76000"/>
    <x v="2"/>
    <s v="Male"/>
    <x v="2"/>
  </r>
  <r>
    <x v="7"/>
    <n v="69514"/>
    <x v="2"/>
    <s v="Female"/>
    <x v="2"/>
  </r>
  <r>
    <x v="7"/>
    <n v="74014"/>
    <x v="3"/>
    <s v="Male"/>
    <x v="2"/>
  </r>
  <r>
    <x v="7"/>
    <n v="68391"/>
    <x v="3"/>
    <s v="Female"/>
    <x v="2"/>
  </r>
  <r>
    <x v="7"/>
    <n v="62881"/>
    <x v="4"/>
    <s v="Male"/>
    <x v="2"/>
  </r>
  <r>
    <x v="7"/>
    <n v="56385"/>
    <x v="4"/>
    <s v="Female"/>
    <x v="2"/>
  </r>
  <r>
    <x v="7"/>
    <n v="67743"/>
    <x v="5"/>
    <s v="Male"/>
    <x v="2"/>
  </r>
  <r>
    <x v="7"/>
    <n v="63169"/>
    <x v="5"/>
    <s v="Female"/>
    <x v="2"/>
  </r>
  <r>
    <x v="7"/>
    <n v="67858"/>
    <x v="6"/>
    <s v="Male"/>
    <x v="2"/>
  </r>
  <r>
    <x v="7"/>
    <n v="63561"/>
    <x v="6"/>
    <s v="Female"/>
    <x v="2"/>
  </r>
  <r>
    <x v="7"/>
    <n v="63697"/>
    <x v="7"/>
    <s v="Male"/>
    <x v="2"/>
  </r>
  <r>
    <x v="7"/>
    <n v="60428"/>
    <x v="7"/>
    <s v="Female"/>
    <x v="2"/>
  </r>
  <r>
    <x v="7"/>
    <n v="68727"/>
    <x v="8"/>
    <s v="Male"/>
    <x v="2"/>
  </r>
  <r>
    <x v="7"/>
    <n v="64749"/>
    <x v="8"/>
    <s v="Female"/>
    <x v="2"/>
  </r>
  <r>
    <x v="7"/>
    <n v="72115"/>
    <x v="9"/>
    <s v="Male"/>
    <x v="2"/>
  </r>
  <r>
    <x v="7"/>
    <n v="71011"/>
    <x v="9"/>
    <s v="Female"/>
    <x v="2"/>
  </r>
  <r>
    <x v="7"/>
    <n v="61067"/>
    <x v="10"/>
    <s v="Male"/>
    <x v="2"/>
  </r>
  <r>
    <x v="7"/>
    <n v="66612"/>
    <x v="10"/>
    <s v="Female"/>
    <x v="2"/>
  </r>
  <r>
    <x v="7"/>
    <n v="49191"/>
    <x v="11"/>
    <s v="Male"/>
    <x v="2"/>
  </r>
  <r>
    <x v="7"/>
    <n v="56779"/>
    <x v="11"/>
    <s v="Female"/>
    <x v="2"/>
  </r>
  <r>
    <x v="7"/>
    <n v="44235"/>
    <x v="12"/>
    <s v="Male"/>
    <x v="2"/>
  </r>
  <r>
    <x v="7"/>
    <n v="51601"/>
    <x v="12"/>
    <s v="Female"/>
    <x v="2"/>
  </r>
  <r>
    <x v="8"/>
    <n v="87935"/>
    <x v="0"/>
    <s v="Male"/>
    <x v="0"/>
  </r>
  <r>
    <x v="8"/>
    <n v="82313"/>
    <x v="0"/>
    <s v="Female"/>
    <x v="0"/>
  </r>
  <r>
    <x v="8"/>
    <n v="90329"/>
    <x v="1"/>
    <s v="Male"/>
    <x v="0"/>
  </r>
  <r>
    <x v="8"/>
    <n v="81572"/>
    <x v="1"/>
    <s v="Female"/>
    <x v="0"/>
  </r>
  <r>
    <x v="8"/>
    <n v="73485"/>
    <x v="2"/>
    <s v="Male"/>
    <x v="0"/>
  </r>
  <r>
    <x v="8"/>
    <n v="66301"/>
    <x v="2"/>
    <s v="Female"/>
    <x v="0"/>
  </r>
  <r>
    <x v="8"/>
    <n v="82777"/>
    <x v="3"/>
    <s v="Male"/>
    <x v="0"/>
  </r>
  <r>
    <x v="8"/>
    <n v="75996"/>
    <x v="3"/>
    <s v="Female"/>
    <x v="0"/>
  </r>
  <r>
    <x v="8"/>
    <n v="86051"/>
    <x v="4"/>
    <s v="Male"/>
    <x v="0"/>
  </r>
  <r>
    <x v="8"/>
    <n v="78781"/>
    <x v="4"/>
    <s v="Female"/>
    <x v="0"/>
  </r>
  <r>
    <x v="8"/>
    <n v="91283"/>
    <x v="5"/>
    <s v="Male"/>
    <x v="0"/>
  </r>
  <r>
    <x v="8"/>
    <n v="83582"/>
    <x v="5"/>
    <s v="Female"/>
    <x v="0"/>
  </r>
  <r>
    <x v="8"/>
    <n v="94047"/>
    <x v="6"/>
    <s v="Male"/>
    <x v="0"/>
  </r>
  <r>
    <x v="8"/>
    <n v="86259"/>
    <x v="6"/>
    <s v="Female"/>
    <x v="0"/>
  </r>
  <r>
    <x v="8"/>
    <n v="107001"/>
    <x v="7"/>
    <s v="Male"/>
    <x v="0"/>
  </r>
  <r>
    <x v="8"/>
    <n v="94019"/>
    <x v="7"/>
    <s v="Female"/>
    <x v="0"/>
  </r>
  <r>
    <x v="8"/>
    <n v="87223"/>
    <x v="8"/>
    <s v="Male"/>
    <x v="0"/>
  </r>
  <r>
    <x v="8"/>
    <n v="84947"/>
    <x v="8"/>
    <s v="Female"/>
    <x v="0"/>
  </r>
  <r>
    <x v="8"/>
    <n v="73613"/>
    <x v="9"/>
    <s v="Male"/>
    <x v="0"/>
  </r>
  <r>
    <x v="8"/>
    <n v="75426"/>
    <x v="9"/>
    <s v="Female"/>
    <x v="0"/>
  </r>
  <r>
    <x v="8"/>
    <n v="66513"/>
    <x v="10"/>
    <s v="Male"/>
    <x v="0"/>
  </r>
  <r>
    <x v="8"/>
    <n v="71015"/>
    <x v="10"/>
    <s v="Female"/>
    <x v="0"/>
  </r>
  <r>
    <x v="8"/>
    <n v="60772"/>
    <x v="11"/>
    <s v="Male"/>
    <x v="0"/>
  </r>
  <r>
    <x v="8"/>
    <n v="63826"/>
    <x v="11"/>
    <s v="Female"/>
    <x v="0"/>
  </r>
  <r>
    <x v="8"/>
    <n v="50728"/>
    <x v="12"/>
    <s v="Male"/>
    <x v="0"/>
  </r>
  <r>
    <x v="8"/>
    <n v="57343"/>
    <x v="12"/>
    <s v="Female"/>
    <x v="0"/>
  </r>
  <r>
    <x v="8"/>
    <n v="73949"/>
    <x v="0"/>
    <s v="Male"/>
    <x v="1"/>
  </r>
  <r>
    <x v="8"/>
    <n v="67003"/>
    <x v="0"/>
    <s v="Female"/>
    <x v="1"/>
  </r>
  <r>
    <x v="8"/>
    <n v="91913"/>
    <x v="1"/>
    <s v="Male"/>
    <x v="1"/>
  </r>
  <r>
    <x v="8"/>
    <n v="84104"/>
    <x v="1"/>
    <s v="Female"/>
    <x v="1"/>
  </r>
  <r>
    <x v="8"/>
    <n v="88388"/>
    <x v="2"/>
    <s v="Male"/>
    <x v="1"/>
  </r>
  <r>
    <x v="8"/>
    <n v="80888"/>
    <x v="2"/>
    <s v="Female"/>
    <x v="1"/>
  </r>
  <r>
    <x v="8"/>
    <n v="73184"/>
    <x v="3"/>
    <s v="Male"/>
    <x v="1"/>
  </r>
  <r>
    <x v="8"/>
    <n v="66046"/>
    <x v="3"/>
    <s v="Female"/>
    <x v="1"/>
  </r>
  <r>
    <x v="8"/>
    <n v="82122"/>
    <x v="4"/>
    <s v="Male"/>
    <x v="1"/>
  </r>
  <r>
    <x v="8"/>
    <n v="75740"/>
    <x v="4"/>
    <s v="Female"/>
    <x v="1"/>
  </r>
  <r>
    <x v="8"/>
    <n v="85301"/>
    <x v="5"/>
    <s v="Male"/>
    <x v="1"/>
  </r>
  <r>
    <x v="8"/>
    <n v="78385"/>
    <x v="5"/>
    <s v="Female"/>
    <x v="1"/>
  </r>
  <r>
    <x v="8"/>
    <n v="89462"/>
    <x v="6"/>
    <s v="Male"/>
    <x v="1"/>
  </r>
  <r>
    <x v="8"/>
    <n v="83195"/>
    <x v="6"/>
    <s v="Female"/>
    <x v="1"/>
  </r>
  <r>
    <x v="8"/>
    <n v="94048"/>
    <x v="7"/>
    <s v="Male"/>
    <x v="1"/>
  </r>
  <r>
    <x v="8"/>
    <n v="84940"/>
    <x v="7"/>
    <s v="Female"/>
    <x v="1"/>
  </r>
  <r>
    <x v="8"/>
    <n v="99624"/>
    <x v="8"/>
    <s v="Male"/>
    <x v="1"/>
  </r>
  <r>
    <x v="8"/>
    <n v="91562"/>
    <x v="8"/>
    <s v="Female"/>
    <x v="1"/>
  </r>
  <r>
    <x v="8"/>
    <n v="81188"/>
    <x v="9"/>
    <s v="Male"/>
    <x v="1"/>
  </r>
  <r>
    <x v="8"/>
    <n v="82315"/>
    <x v="9"/>
    <s v="Female"/>
    <x v="1"/>
  </r>
  <r>
    <x v="8"/>
    <n v="67800"/>
    <x v="10"/>
    <s v="Male"/>
    <x v="1"/>
  </r>
  <r>
    <x v="8"/>
    <n v="72269"/>
    <x v="10"/>
    <s v="Female"/>
    <x v="1"/>
  </r>
  <r>
    <x v="8"/>
    <n v="64724"/>
    <x v="11"/>
    <s v="Male"/>
    <x v="1"/>
  </r>
  <r>
    <x v="8"/>
    <n v="68353"/>
    <x v="11"/>
    <s v="Female"/>
    <x v="1"/>
  </r>
  <r>
    <x v="8"/>
    <n v="54545"/>
    <x v="12"/>
    <s v="Male"/>
    <x v="1"/>
  </r>
  <r>
    <x v="8"/>
    <n v="59602"/>
    <x v="12"/>
    <s v="Female"/>
    <x v="1"/>
  </r>
  <r>
    <x v="8"/>
    <n v="80092"/>
    <x v="0"/>
    <s v="Male"/>
    <x v="2"/>
  </r>
  <r>
    <x v="8"/>
    <n v="74808"/>
    <x v="0"/>
    <s v="Female"/>
    <x v="2"/>
  </r>
  <r>
    <x v="8"/>
    <n v="77592"/>
    <x v="1"/>
    <s v="Male"/>
    <x v="2"/>
  </r>
  <r>
    <x v="8"/>
    <n v="68230"/>
    <x v="1"/>
    <s v="Female"/>
    <x v="2"/>
  </r>
  <r>
    <x v="8"/>
    <n v="88656"/>
    <x v="2"/>
    <s v="Male"/>
    <x v="2"/>
  </r>
  <r>
    <x v="8"/>
    <n v="82175"/>
    <x v="2"/>
    <s v="Female"/>
    <x v="2"/>
  </r>
  <r>
    <x v="8"/>
    <n v="86654"/>
    <x v="3"/>
    <s v="Male"/>
    <x v="2"/>
  </r>
  <r>
    <x v="8"/>
    <n v="79764"/>
    <x v="3"/>
    <s v="Female"/>
    <x v="2"/>
  </r>
  <r>
    <x v="8"/>
    <n v="72161"/>
    <x v="4"/>
    <s v="Male"/>
    <x v="2"/>
  </r>
  <r>
    <x v="8"/>
    <n v="65226"/>
    <x v="4"/>
    <s v="Female"/>
    <x v="2"/>
  </r>
  <r>
    <x v="8"/>
    <n v="80566"/>
    <x v="5"/>
    <s v="Male"/>
    <x v="2"/>
  </r>
  <r>
    <x v="8"/>
    <n v="74978"/>
    <x v="5"/>
    <s v="Female"/>
    <x v="2"/>
  </r>
  <r>
    <x v="8"/>
    <n v="83502"/>
    <x v="6"/>
    <s v="Male"/>
    <x v="2"/>
  </r>
  <r>
    <x v="8"/>
    <n v="77650"/>
    <x v="6"/>
    <s v="Female"/>
    <x v="2"/>
  </r>
  <r>
    <x v="8"/>
    <n v="88579"/>
    <x v="7"/>
    <s v="Male"/>
    <x v="2"/>
  </r>
  <r>
    <x v="8"/>
    <n v="81075"/>
    <x v="7"/>
    <s v="Female"/>
    <x v="2"/>
  </r>
  <r>
    <x v="8"/>
    <n v="92811"/>
    <x v="8"/>
    <s v="Male"/>
    <x v="2"/>
  </r>
  <r>
    <x v="8"/>
    <n v="84052"/>
    <x v="8"/>
    <s v="Female"/>
    <x v="2"/>
  </r>
  <r>
    <x v="8"/>
    <n v="95209"/>
    <x v="9"/>
    <s v="Male"/>
    <x v="2"/>
  </r>
  <r>
    <x v="8"/>
    <n v="90108"/>
    <x v="9"/>
    <s v="Female"/>
    <x v="2"/>
  </r>
  <r>
    <x v="8"/>
    <n v="77465"/>
    <x v="10"/>
    <s v="Male"/>
    <x v="2"/>
  </r>
  <r>
    <x v="8"/>
    <n v="80782"/>
    <x v="10"/>
    <s v="Female"/>
    <x v="2"/>
  </r>
  <r>
    <x v="8"/>
    <n v="66126"/>
    <x v="11"/>
    <s v="Male"/>
    <x v="2"/>
  </r>
  <r>
    <x v="8"/>
    <n v="71624"/>
    <x v="11"/>
    <s v="Female"/>
    <x v="2"/>
  </r>
  <r>
    <x v="8"/>
    <n v="58850"/>
    <x v="12"/>
    <s v="Male"/>
    <x v="2"/>
  </r>
  <r>
    <x v="8"/>
    <n v="65185"/>
    <x v="12"/>
    <s v="Female"/>
    <x v="2"/>
  </r>
  <r>
    <x v="9"/>
    <n v="92032"/>
    <x v="0"/>
    <s v="Male"/>
    <x v="0"/>
  </r>
  <r>
    <x v="9"/>
    <n v="85851"/>
    <x v="0"/>
    <s v="Female"/>
    <x v="0"/>
  </r>
  <r>
    <x v="9"/>
    <n v="93437"/>
    <x v="1"/>
    <s v="Male"/>
    <x v="0"/>
  </r>
  <r>
    <x v="9"/>
    <n v="84711"/>
    <x v="1"/>
    <s v="Female"/>
    <x v="0"/>
  </r>
  <r>
    <x v="9"/>
    <n v="72911"/>
    <x v="2"/>
    <s v="Male"/>
    <x v="0"/>
  </r>
  <r>
    <x v="9"/>
    <n v="65777"/>
    <x v="2"/>
    <s v="Female"/>
    <x v="0"/>
  </r>
  <r>
    <x v="9"/>
    <n v="83907"/>
    <x v="3"/>
    <s v="Male"/>
    <x v="0"/>
  </r>
  <r>
    <x v="9"/>
    <n v="76675"/>
    <x v="3"/>
    <s v="Female"/>
    <x v="0"/>
  </r>
  <r>
    <x v="9"/>
    <n v="89260"/>
    <x v="4"/>
    <s v="Male"/>
    <x v="0"/>
  </r>
  <r>
    <x v="9"/>
    <n v="81982"/>
    <x v="4"/>
    <s v="Female"/>
    <x v="0"/>
  </r>
  <r>
    <x v="9"/>
    <n v="90553"/>
    <x v="5"/>
    <s v="Male"/>
    <x v="0"/>
  </r>
  <r>
    <x v="9"/>
    <n v="83991"/>
    <x v="5"/>
    <s v="Female"/>
    <x v="0"/>
  </r>
  <r>
    <x v="9"/>
    <n v="91174"/>
    <x v="6"/>
    <s v="Male"/>
    <x v="0"/>
  </r>
  <r>
    <x v="9"/>
    <n v="84336"/>
    <x v="6"/>
    <s v="Female"/>
    <x v="0"/>
  </r>
  <r>
    <x v="9"/>
    <n v="106811"/>
    <x v="7"/>
    <s v="Male"/>
    <x v="0"/>
  </r>
  <r>
    <x v="9"/>
    <n v="96611"/>
    <x v="7"/>
    <s v="Female"/>
    <x v="0"/>
  </r>
  <r>
    <x v="9"/>
    <n v="86156"/>
    <x v="8"/>
    <s v="Male"/>
    <x v="0"/>
  </r>
  <r>
    <x v="9"/>
    <n v="86277"/>
    <x v="8"/>
    <s v="Female"/>
    <x v="0"/>
  </r>
  <r>
    <x v="9"/>
    <n v="74188"/>
    <x v="9"/>
    <s v="Male"/>
    <x v="0"/>
  </r>
  <r>
    <x v="9"/>
    <n v="77484"/>
    <x v="9"/>
    <s v="Female"/>
    <x v="0"/>
  </r>
  <r>
    <x v="9"/>
    <n v="66146"/>
    <x v="10"/>
    <s v="Male"/>
    <x v="0"/>
  </r>
  <r>
    <x v="9"/>
    <n v="72078"/>
    <x v="10"/>
    <s v="Female"/>
    <x v="0"/>
  </r>
  <r>
    <x v="9"/>
    <n v="62282"/>
    <x v="11"/>
    <s v="Male"/>
    <x v="0"/>
  </r>
  <r>
    <x v="9"/>
    <n v="66940"/>
    <x v="11"/>
    <s v="Female"/>
    <x v="0"/>
  </r>
  <r>
    <x v="9"/>
    <n v="50774"/>
    <x v="12"/>
    <s v="Male"/>
    <x v="0"/>
  </r>
  <r>
    <x v="9"/>
    <n v="59682"/>
    <x v="12"/>
    <s v="Female"/>
    <x v="0"/>
  </r>
  <r>
    <x v="9"/>
    <n v="81596"/>
    <x v="0"/>
    <s v="Male"/>
    <x v="1"/>
  </r>
  <r>
    <x v="9"/>
    <n v="74054"/>
    <x v="0"/>
    <s v="Female"/>
    <x v="1"/>
  </r>
  <r>
    <x v="9"/>
    <n v="94407"/>
    <x v="1"/>
    <s v="Male"/>
    <x v="1"/>
  </r>
  <r>
    <x v="9"/>
    <n v="86582"/>
    <x v="1"/>
    <s v="Female"/>
    <x v="1"/>
  </r>
  <r>
    <x v="9"/>
    <n v="91439"/>
    <x v="2"/>
    <s v="Male"/>
    <x v="1"/>
  </r>
  <r>
    <x v="9"/>
    <n v="83887"/>
    <x v="2"/>
    <s v="Female"/>
    <x v="1"/>
  </r>
  <r>
    <x v="9"/>
    <n v="72711"/>
    <x v="3"/>
    <s v="Male"/>
    <x v="1"/>
  </r>
  <r>
    <x v="9"/>
    <n v="65826"/>
    <x v="3"/>
    <s v="Female"/>
    <x v="1"/>
  </r>
  <r>
    <x v="9"/>
    <n v="83055"/>
    <x v="4"/>
    <s v="Male"/>
    <x v="1"/>
  </r>
  <r>
    <x v="9"/>
    <n v="76469"/>
    <x v="4"/>
    <s v="Female"/>
    <x v="1"/>
  </r>
  <r>
    <x v="9"/>
    <n v="87826"/>
    <x v="5"/>
    <s v="Male"/>
    <x v="1"/>
  </r>
  <r>
    <x v="9"/>
    <n v="81590"/>
    <x v="5"/>
    <s v="Female"/>
    <x v="1"/>
  </r>
  <r>
    <x v="9"/>
    <n v="88596"/>
    <x v="6"/>
    <s v="Male"/>
    <x v="1"/>
  </r>
  <r>
    <x v="9"/>
    <n v="83422"/>
    <x v="6"/>
    <s v="Female"/>
    <x v="1"/>
  </r>
  <r>
    <x v="9"/>
    <n v="92805"/>
    <x v="7"/>
    <s v="Male"/>
    <x v="1"/>
  </r>
  <r>
    <x v="9"/>
    <n v="84135"/>
    <x v="7"/>
    <s v="Female"/>
    <x v="1"/>
  </r>
  <r>
    <x v="9"/>
    <n v="96304"/>
    <x v="8"/>
    <s v="Male"/>
    <x v="1"/>
  </r>
  <r>
    <x v="9"/>
    <n v="93175"/>
    <x v="8"/>
    <s v="Female"/>
    <x v="1"/>
  </r>
  <r>
    <x v="9"/>
    <n v="78736"/>
    <x v="9"/>
    <s v="Male"/>
    <x v="1"/>
  </r>
  <r>
    <x v="9"/>
    <n v="83106"/>
    <x v="9"/>
    <s v="Female"/>
    <x v="1"/>
  </r>
  <r>
    <x v="9"/>
    <n v="68678"/>
    <x v="10"/>
    <s v="Male"/>
    <x v="1"/>
  </r>
  <r>
    <x v="9"/>
    <n v="74720"/>
    <x v="10"/>
    <s v="Female"/>
    <x v="1"/>
  </r>
  <r>
    <x v="9"/>
    <n v="65804"/>
    <x v="11"/>
    <s v="Male"/>
    <x v="1"/>
  </r>
  <r>
    <x v="9"/>
    <n v="70578"/>
    <x v="11"/>
    <s v="Female"/>
    <x v="1"/>
  </r>
  <r>
    <x v="9"/>
    <n v="56744"/>
    <x v="12"/>
    <s v="Male"/>
    <x v="1"/>
  </r>
  <r>
    <x v="9"/>
    <n v="62999"/>
    <x v="12"/>
    <s v="Female"/>
    <x v="1"/>
  </r>
  <r>
    <x v="9"/>
    <n v="82368"/>
    <x v="0"/>
    <s v="Male"/>
    <x v="2"/>
  </r>
  <r>
    <x v="9"/>
    <n v="76849"/>
    <x v="0"/>
    <s v="Female"/>
    <x v="2"/>
  </r>
  <r>
    <x v="9"/>
    <n v="82078"/>
    <x v="1"/>
    <s v="Male"/>
    <x v="2"/>
  </r>
  <r>
    <x v="9"/>
    <n v="72862"/>
    <x v="1"/>
    <s v="Female"/>
    <x v="2"/>
  </r>
  <r>
    <x v="9"/>
    <n v="88682"/>
    <x v="2"/>
    <s v="Male"/>
    <x v="2"/>
  </r>
  <r>
    <x v="9"/>
    <n v="82479"/>
    <x v="2"/>
    <s v="Female"/>
    <x v="2"/>
  </r>
  <r>
    <x v="9"/>
    <n v="87115"/>
    <x v="3"/>
    <s v="Male"/>
    <x v="2"/>
  </r>
  <r>
    <x v="9"/>
    <n v="80633"/>
    <x v="3"/>
    <s v="Female"/>
    <x v="2"/>
  </r>
  <r>
    <x v="9"/>
    <n v="69507"/>
    <x v="4"/>
    <s v="Male"/>
    <x v="2"/>
  </r>
  <r>
    <x v="9"/>
    <n v="63618"/>
    <x v="4"/>
    <s v="Female"/>
    <x v="2"/>
  </r>
  <r>
    <x v="9"/>
    <n v="79792"/>
    <x v="5"/>
    <s v="Male"/>
    <x v="2"/>
  </r>
  <r>
    <x v="9"/>
    <n v="74206"/>
    <x v="5"/>
    <s v="Female"/>
    <x v="2"/>
  </r>
  <r>
    <x v="9"/>
    <n v="84529"/>
    <x v="6"/>
    <s v="Male"/>
    <x v="2"/>
  </r>
  <r>
    <x v="9"/>
    <n v="79789"/>
    <x v="6"/>
    <s v="Female"/>
    <x v="2"/>
  </r>
  <r>
    <x v="9"/>
    <n v="82234"/>
    <x v="7"/>
    <s v="Male"/>
    <x v="2"/>
  </r>
  <r>
    <x v="9"/>
    <n v="76365"/>
    <x v="7"/>
    <s v="Female"/>
    <x v="2"/>
  </r>
  <r>
    <x v="9"/>
    <n v="83092"/>
    <x v="8"/>
    <s v="Male"/>
    <x v="2"/>
  </r>
  <r>
    <x v="9"/>
    <n v="79190"/>
    <x v="8"/>
    <s v="Female"/>
    <x v="2"/>
  </r>
  <r>
    <x v="9"/>
    <n v="86392"/>
    <x v="9"/>
    <s v="Male"/>
    <x v="2"/>
  </r>
  <r>
    <x v="9"/>
    <n v="87422"/>
    <x v="9"/>
    <s v="Female"/>
    <x v="2"/>
  </r>
  <r>
    <x v="9"/>
    <n v="72075"/>
    <x v="10"/>
    <s v="Male"/>
    <x v="2"/>
  </r>
  <r>
    <x v="9"/>
    <n v="78917"/>
    <x v="10"/>
    <s v="Female"/>
    <x v="2"/>
  </r>
  <r>
    <x v="9"/>
    <n v="63297"/>
    <x v="11"/>
    <s v="Male"/>
    <x v="2"/>
  </r>
  <r>
    <x v="9"/>
    <n v="70527"/>
    <x v="11"/>
    <s v="Female"/>
    <x v="2"/>
  </r>
  <r>
    <x v="9"/>
    <n v="57981"/>
    <x v="12"/>
    <s v="Male"/>
    <x v="2"/>
  </r>
  <r>
    <x v="9"/>
    <n v="65142"/>
    <x v="12"/>
    <s v="Female"/>
    <x v="2"/>
  </r>
  <r>
    <x v="10"/>
    <n v="57153"/>
    <x v="0"/>
    <s v="Male"/>
    <x v="0"/>
  </r>
  <r>
    <x v="10"/>
    <n v="53692"/>
    <x v="0"/>
    <s v="Female"/>
    <x v="0"/>
  </r>
  <r>
    <x v="10"/>
    <n v="57263"/>
    <x v="1"/>
    <s v="Male"/>
    <x v="0"/>
  </r>
  <r>
    <x v="10"/>
    <n v="52423"/>
    <x v="1"/>
    <s v="Female"/>
    <x v="0"/>
  </r>
  <r>
    <x v="10"/>
    <n v="47753"/>
    <x v="2"/>
    <s v="Male"/>
    <x v="0"/>
  </r>
  <r>
    <x v="10"/>
    <n v="42976"/>
    <x v="2"/>
    <s v="Female"/>
    <x v="0"/>
  </r>
  <r>
    <x v="10"/>
    <n v="50635"/>
    <x v="3"/>
    <s v="Male"/>
    <x v="0"/>
  </r>
  <r>
    <x v="10"/>
    <n v="46825"/>
    <x v="3"/>
    <s v="Female"/>
    <x v="0"/>
  </r>
  <r>
    <x v="10"/>
    <n v="51651"/>
    <x v="4"/>
    <s v="Male"/>
    <x v="0"/>
  </r>
  <r>
    <x v="10"/>
    <n v="47548"/>
    <x v="4"/>
    <s v="Female"/>
    <x v="0"/>
  </r>
  <r>
    <x v="10"/>
    <n v="56149"/>
    <x v="5"/>
    <s v="Male"/>
    <x v="0"/>
  </r>
  <r>
    <x v="10"/>
    <n v="52209"/>
    <x v="5"/>
    <s v="Female"/>
    <x v="0"/>
  </r>
  <r>
    <x v="10"/>
    <n v="56889"/>
    <x v="6"/>
    <s v="Male"/>
    <x v="0"/>
  </r>
  <r>
    <x v="10"/>
    <n v="51714"/>
    <x v="6"/>
    <s v="Female"/>
    <x v="0"/>
  </r>
  <r>
    <x v="10"/>
    <n v="62093"/>
    <x v="7"/>
    <s v="Male"/>
    <x v="0"/>
  </r>
  <r>
    <x v="10"/>
    <n v="55369"/>
    <x v="7"/>
    <s v="Female"/>
    <x v="0"/>
  </r>
  <r>
    <x v="10"/>
    <n v="54810"/>
    <x v="8"/>
    <s v="Male"/>
    <x v="0"/>
  </r>
  <r>
    <x v="10"/>
    <n v="54040"/>
    <x v="8"/>
    <s v="Female"/>
    <x v="0"/>
  </r>
  <r>
    <x v="10"/>
    <n v="46545"/>
    <x v="9"/>
    <s v="Male"/>
    <x v="0"/>
  </r>
  <r>
    <x v="10"/>
    <n v="48647"/>
    <x v="9"/>
    <s v="Female"/>
    <x v="0"/>
  </r>
  <r>
    <x v="10"/>
    <n v="39746"/>
    <x v="10"/>
    <s v="Male"/>
    <x v="0"/>
  </r>
  <r>
    <x v="10"/>
    <n v="44271"/>
    <x v="10"/>
    <s v="Female"/>
    <x v="0"/>
  </r>
  <r>
    <x v="10"/>
    <n v="36054"/>
    <x v="11"/>
    <s v="Male"/>
    <x v="0"/>
  </r>
  <r>
    <x v="10"/>
    <n v="38956"/>
    <x v="11"/>
    <s v="Female"/>
    <x v="0"/>
  </r>
  <r>
    <x v="10"/>
    <n v="29639"/>
    <x v="12"/>
    <s v="Male"/>
    <x v="0"/>
  </r>
  <r>
    <x v="10"/>
    <n v="33891"/>
    <x v="12"/>
    <s v="Female"/>
    <x v="0"/>
  </r>
  <r>
    <x v="10"/>
    <n v="48459"/>
    <x v="0"/>
    <s v="Male"/>
    <x v="1"/>
  </r>
  <r>
    <x v="10"/>
    <n v="43518"/>
    <x v="0"/>
    <s v="Female"/>
    <x v="1"/>
  </r>
  <r>
    <x v="10"/>
    <n v="58681"/>
    <x v="1"/>
    <s v="Male"/>
    <x v="1"/>
  </r>
  <r>
    <x v="10"/>
    <n v="54213"/>
    <x v="1"/>
    <s v="Female"/>
    <x v="1"/>
  </r>
  <r>
    <x v="10"/>
    <n v="55601"/>
    <x v="2"/>
    <s v="Male"/>
    <x v="1"/>
  </r>
  <r>
    <x v="10"/>
    <n v="51556"/>
    <x v="2"/>
    <s v="Female"/>
    <x v="1"/>
  </r>
  <r>
    <x v="10"/>
    <n v="47401"/>
    <x v="3"/>
    <s v="Male"/>
    <x v="1"/>
  </r>
  <r>
    <x v="10"/>
    <n v="42562"/>
    <x v="3"/>
    <s v="Female"/>
    <x v="1"/>
  </r>
  <r>
    <x v="10"/>
    <n v="50124"/>
    <x v="4"/>
    <s v="Male"/>
    <x v="1"/>
  </r>
  <r>
    <x v="10"/>
    <n v="46504"/>
    <x v="4"/>
    <s v="Female"/>
    <x v="1"/>
  </r>
  <r>
    <x v="10"/>
    <n v="50990"/>
    <x v="5"/>
    <s v="Male"/>
    <x v="1"/>
  </r>
  <r>
    <x v="10"/>
    <n v="47206"/>
    <x v="5"/>
    <s v="Female"/>
    <x v="1"/>
  </r>
  <r>
    <x v="10"/>
    <n v="54820"/>
    <x v="6"/>
    <s v="Male"/>
    <x v="1"/>
  </r>
  <r>
    <x v="10"/>
    <n v="51619"/>
    <x v="6"/>
    <s v="Female"/>
    <x v="1"/>
  </r>
  <r>
    <x v="10"/>
    <n v="57447"/>
    <x v="7"/>
    <s v="Male"/>
    <x v="1"/>
  </r>
  <r>
    <x v="10"/>
    <n v="50604"/>
    <x v="7"/>
    <s v="Female"/>
    <x v="1"/>
  </r>
  <r>
    <x v="10"/>
    <n v="56503"/>
    <x v="8"/>
    <s v="Male"/>
    <x v="1"/>
  </r>
  <r>
    <x v="10"/>
    <n v="53340"/>
    <x v="8"/>
    <s v="Female"/>
    <x v="1"/>
  </r>
  <r>
    <x v="10"/>
    <n v="49842"/>
    <x v="9"/>
    <s v="Male"/>
    <x v="1"/>
  </r>
  <r>
    <x v="10"/>
    <n v="51662"/>
    <x v="9"/>
    <s v="Female"/>
    <x v="1"/>
  </r>
  <r>
    <x v="10"/>
    <n v="41644"/>
    <x v="10"/>
    <s v="Male"/>
    <x v="1"/>
  </r>
  <r>
    <x v="10"/>
    <n v="46034"/>
    <x v="10"/>
    <s v="Female"/>
    <x v="1"/>
  </r>
  <r>
    <x v="10"/>
    <n v="38106"/>
    <x v="11"/>
    <s v="Male"/>
    <x v="1"/>
  </r>
  <r>
    <x v="10"/>
    <n v="41538"/>
    <x v="11"/>
    <s v="Female"/>
    <x v="1"/>
  </r>
  <r>
    <x v="10"/>
    <n v="33052"/>
    <x v="12"/>
    <s v="Male"/>
    <x v="1"/>
  </r>
  <r>
    <x v="10"/>
    <n v="36647"/>
    <x v="12"/>
    <s v="Female"/>
    <x v="1"/>
  </r>
  <r>
    <x v="10"/>
    <n v="53778"/>
    <x v="0"/>
    <s v="Male"/>
    <x v="2"/>
  </r>
  <r>
    <x v="10"/>
    <n v="49080"/>
    <x v="0"/>
    <s v="Female"/>
    <x v="2"/>
  </r>
  <r>
    <x v="10"/>
    <n v="51131"/>
    <x v="1"/>
    <s v="Male"/>
    <x v="2"/>
  </r>
  <r>
    <x v="10"/>
    <n v="44618"/>
    <x v="1"/>
    <s v="Female"/>
    <x v="2"/>
  </r>
  <r>
    <x v="10"/>
    <n v="56579"/>
    <x v="2"/>
    <s v="Male"/>
    <x v="2"/>
  </r>
  <r>
    <x v="10"/>
    <n v="53001"/>
    <x v="2"/>
    <s v="Female"/>
    <x v="2"/>
  </r>
  <r>
    <x v="10"/>
    <n v="54843"/>
    <x v="3"/>
    <s v="Male"/>
    <x v="2"/>
  </r>
  <r>
    <x v="10"/>
    <n v="50948"/>
    <x v="3"/>
    <s v="Female"/>
    <x v="2"/>
  </r>
  <r>
    <x v="10"/>
    <n v="46744"/>
    <x v="4"/>
    <s v="Male"/>
    <x v="2"/>
  </r>
  <r>
    <x v="10"/>
    <n v="42175"/>
    <x v="4"/>
    <s v="Female"/>
    <x v="2"/>
  </r>
  <r>
    <x v="10"/>
    <n v="49531"/>
    <x v="5"/>
    <s v="Male"/>
    <x v="2"/>
  </r>
  <r>
    <x v="10"/>
    <n v="46291"/>
    <x v="5"/>
    <s v="Female"/>
    <x v="2"/>
  </r>
  <r>
    <x v="10"/>
    <n v="50119"/>
    <x v="6"/>
    <s v="Male"/>
    <x v="2"/>
  </r>
  <r>
    <x v="10"/>
    <n v="46942"/>
    <x v="6"/>
    <s v="Female"/>
    <x v="2"/>
  </r>
  <r>
    <x v="10"/>
    <n v="54680"/>
    <x v="7"/>
    <s v="Male"/>
    <x v="2"/>
  </r>
  <r>
    <x v="10"/>
    <n v="49817"/>
    <x v="7"/>
    <s v="Female"/>
    <x v="2"/>
  </r>
  <r>
    <x v="10"/>
    <n v="54429"/>
    <x v="8"/>
    <s v="Male"/>
    <x v="2"/>
  </r>
  <r>
    <x v="10"/>
    <n v="49692"/>
    <x v="8"/>
    <s v="Female"/>
    <x v="2"/>
  </r>
  <r>
    <x v="10"/>
    <n v="52934"/>
    <x v="9"/>
    <s v="Male"/>
    <x v="2"/>
  </r>
  <r>
    <x v="10"/>
    <n v="52293"/>
    <x v="9"/>
    <s v="Female"/>
    <x v="2"/>
  </r>
  <r>
    <x v="10"/>
    <n v="46278"/>
    <x v="10"/>
    <s v="Male"/>
    <x v="2"/>
  </r>
  <r>
    <x v="10"/>
    <n v="50328"/>
    <x v="10"/>
    <s v="Female"/>
    <x v="2"/>
  </r>
  <r>
    <x v="10"/>
    <n v="39677"/>
    <x v="11"/>
    <s v="Male"/>
    <x v="2"/>
  </r>
  <r>
    <x v="10"/>
    <n v="45131"/>
    <x v="11"/>
    <s v="Female"/>
    <x v="2"/>
  </r>
  <r>
    <x v="10"/>
    <n v="35106"/>
    <x v="12"/>
    <s v="Male"/>
    <x v="2"/>
  </r>
  <r>
    <x v="10"/>
    <n v="39706"/>
    <x v="12"/>
    <s v="Female"/>
    <x v="2"/>
  </r>
  <r>
    <x v="11"/>
    <n v="48422"/>
    <x v="0"/>
    <s v="Male"/>
    <x v="0"/>
  </r>
  <r>
    <x v="11"/>
    <n v="44826"/>
    <x v="0"/>
    <s v="Female"/>
    <x v="0"/>
  </r>
  <r>
    <x v="11"/>
    <n v="48465"/>
    <x v="1"/>
    <s v="Male"/>
    <x v="0"/>
  </r>
  <r>
    <x v="11"/>
    <n v="44705"/>
    <x v="1"/>
    <s v="Female"/>
    <x v="0"/>
  </r>
  <r>
    <x v="11"/>
    <n v="40741"/>
    <x v="2"/>
    <s v="Male"/>
    <x v="0"/>
  </r>
  <r>
    <x v="11"/>
    <n v="37380"/>
    <x v="2"/>
    <s v="Female"/>
    <x v="0"/>
  </r>
  <r>
    <x v="11"/>
    <n v="41418"/>
    <x v="3"/>
    <s v="Male"/>
    <x v="0"/>
  </r>
  <r>
    <x v="11"/>
    <n v="38859"/>
    <x v="3"/>
    <s v="Female"/>
    <x v="0"/>
  </r>
  <r>
    <x v="11"/>
    <n v="44165"/>
    <x v="4"/>
    <s v="Male"/>
    <x v="0"/>
  </r>
  <r>
    <x v="11"/>
    <n v="41009"/>
    <x v="4"/>
    <s v="Female"/>
    <x v="0"/>
  </r>
  <r>
    <x v="11"/>
    <n v="47225"/>
    <x v="5"/>
    <s v="Male"/>
    <x v="0"/>
  </r>
  <r>
    <x v="11"/>
    <n v="44042"/>
    <x v="5"/>
    <s v="Female"/>
    <x v="0"/>
  </r>
  <r>
    <x v="11"/>
    <n v="47115"/>
    <x v="6"/>
    <s v="Male"/>
    <x v="0"/>
  </r>
  <r>
    <x v="11"/>
    <n v="44415"/>
    <x v="6"/>
    <s v="Female"/>
    <x v="0"/>
  </r>
  <r>
    <x v="11"/>
    <n v="54200"/>
    <x v="7"/>
    <s v="Male"/>
    <x v="0"/>
  </r>
  <r>
    <x v="11"/>
    <n v="49660"/>
    <x v="7"/>
    <s v="Female"/>
    <x v="0"/>
  </r>
  <r>
    <x v="11"/>
    <n v="42163"/>
    <x v="8"/>
    <s v="Male"/>
    <x v="0"/>
  </r>
  <r>
    <x v="11"/>
    <n v="43338"/>
    <x v="8"/>
    <s v="Female"/>
    <x v="0"/>
  </r>
  <r>
    <x v="11"/>
    <n v="33630"/>
    <x v="9"/>
    <s v="Male"/>
    <x v="0"/>
  </r>
  <r>
    <x v="11"/>
    <n v="36994"/>
    <x v="9"/>
    <s v="Female"/>
    <x v="0"/>
  </r>
  <r>
    <x v="11"/>
    <n v="27623"/>
    <x v="10"/>
    <s v="Male"/>
    <x v="0"/>
  </r>
  <r>
    <x v="11"/>
    <n v="32094"/>
    <x v="10"/>
    <s v="Female"/>
    <x v="0"/>
  </r>
  <r>
    <x v="11"/>
    <n v="25161"/>
    <x v="11"/>
    <s v="Male"/>
    <x v="0"/>
  </r>
  <r>
    <x v="11"/>
    <n v="28757"/>
    <x v="11"/>
    <s v="Female"/>
    <x v="0"/>
  </r>
  <r>
    <x v="11"/>
    <n v="19473"/>
    <x v="12"/>
    <s v="Male"/>
    <x v="0"/>
  </r>
  <r>
    <x v="11"/>
    <n v="23825"/>
    <x v="12"/>
    <s v="Female"/>
    <x v="0"/>
  </r>
  <r>
    <x v="11"/>
    <n v="44657"/>
    <x v="0"/>
    <s v="Male"/>
    <x v="1"/>
  </r>
  <r>
    <x v="11"/>
    <n v="40405"/>
    <x v="0"/>
    <s v="Female"/>
    <x v="1"/>
  </r>
  <r>
    <x v="11"/>
    <n v="50077"/>
    <x v="1"/>
    <s v="Male"/>
    <x v="1"/>
  </r>
  <r>
    <x v="11"/>
    <n v="45847"/>
    <x v="1"/>
    <s v="Female"/>
    <x v="1"/>
  </r>
  <r>
    <x v="11"/>
    <n v="47247"/>
    <x v="2"/>
    <s v="Male"/>
    <x v="1"/>
  </r>
  <r>
    <x v="11"/>
    <n v="43983"/>
    <x v="2"/>
    <s v="Female"/>
    <x v="1"/>
  </r>
  <r>
    <x v="11"/>
    <n v="40341"/>
    <x v="3"/>
    <s v="Male"/>
    <x v="1"/>
  </r>
  <r>
    <x v="11"/>
    <n v="37273"/>
    <x v="3"/>
    <s v="Female"/>
    <x v="1"/>
  </r>
  <r>
    <x v="11"/>
    <n v="41076"/>
    <x v="4"/>
    <s v="Male"/>
    <x v="1"/>
  </r>
  <r>
    <x v="11"/>
    <n v="38689"/>
    <x v="4"/>
    <s v="Female"/>
    <x v="1"/>
  </r>
  <r>
    <x v="11"/>
    <n v="43416"/>
    <x v="5"/>
    <s v="Male"/>
    <x v="1"/>
  </r>
  <r>
    <x v="11"/>
    <n v="40795"/>
    <x v="5"/>
    <s v="Female"/>
    <x v="1"/>
  </r>
  <r>
    <x v="11"/>
    <n v="45274"/>
    <x v="6"/>
    <s v="Male"/>
    <x v="1"/>
  </r>
  <r>
    <x v="11"/>
    <n v="43389"/>
    <x v="6"/>
    <s v="Female"/>
    <x v="1"/>
  </r>
  <r>
    <x v="11"/>
    <n v="47236"/>
    <x v="7"/>
    <s v="Male"/>
    <x v="1"/>
  </r>
  <r>
    <x v="11"/>
    <n v="43785"/>
    <x v="7"/>
    <s v="Female"/>
    <x v="1"/>
  </r>
  <r>
    <x v="11"/>
    <n v="47360"/>
    <x v="8"/>
    <s v="Male"/>
    <x v="1"/>
  </r>
  <r>
    <x v="11"/>
    <n v="46728"/>
    <x v="8"/>
    <s v="Female"/>
    <x v="1"/>
  </r>
  <r>
    <x v="11"/>
    <n v="37224"/>
    <x v="9"/>
    <s v="Male"/>
    <x v="1"/>
  </r>
  <r>
    <x v="11"/>
    <n v="41001"/>
    <x v="9"/>
    <s v="Female"/>
    <x v="1"/>
  </r>
  <r>
    <x v="11"/>
    <n v="29798"/>
    <x v="10"/>
    <s v="Male"/>
    <x v="1"/>
  </r>
  <r>
    <x v="11"/>
    <n v="34494"/>
    <x v="10"/>
    <s v="Female"/>
    <x v="1"/>
  </r>
  <r>
    <x v="11"/>
    <n v="26718"/>
    <x v="11"/>
    <s v="Male"/>
    <x v="1"/>
  </r>
  <r>
    <x v="11"/>
    <n v="30814"/>
    <x v="11"/>
    <s v="Female"/>
    <x v="1"/>
  </r>
  <r>
    <x v="11"/>
    <n v="22573"/>
    <x v="12"/>
    <s v="Male"/>
    <x v="1"/>
  </r>
  <r>
    <x v="11"/>
    <n v="26751"/>
    <x v="12"/>
    <s v="Female"/>
    <x v="1"/>
  </r>
  <r>
    <x v="11"/>
    <n v="42130"/>
    <x v="0"/>
    <s v="Male"/>
    <x v="2"/>
  </r>
  <r>
    <x v="11"/>
    <n v="38512"/>
    <x v="0"/>
    <s v="Female"/>
    <x v="2"/>
  </r>
  <r>
    <x v="11"/>
    <n v="45776"/>
    <x v="1"/>
    <s v="Male"/>
    <x v="2"/>
  </r>
  <r>
    <x v="11"/>
    <n v="40734"/>
    <x v="1"/>
    <s v="Female"/>
    <x v="2"/>
  </r>
  <r>
    <x v="11"/>
    <n v="47157"/>
    <x v="2"/>
    <s v="Male"/>
    <x v="2"/>
  </r>
  <r>
    <x v="11"/>
    <n v="43820"/>
    <x v="2"/>
    <s v="Female"/>
    <x v="2"/>
  </r>
  <r>
    <x v="11"/>
    <n v="45316"/>
    <x v="3"/>
    <s v="Male"/>
    <x v="2"/>
  </r>
  <r>
    <x v="11"/>
    <n v="42467"/>
    <x v="3"/>
    <s v="Female"/>
    <x v="2"/>
  </r>
  <r>
    <x v="11"/>
    <n v="38876"/>
    <x v="4"/>
    <s v="Male"/>
    <x v="2"/>
  </r>
  <r>
    <x v="11"/>
    <n v="36120"/>
    <x v="4"/>
    <s v="Female"/>
    <x v="2"/>
  </r>
  <r>
    <x v="11"/>
    <n v="39861"/>
    <x v="5"/>
    <s v="Male"/>
    <x v="2"/>
  </r>
  <r>
    <x v="11"/>
    <n v="37907"/>
    <x v="5"/>
    <s v="Female"/>
    <x v="2"/>
  </r>
  <r>
    <x v="11"/>
    <n v="41460"/>
    <x v="6"/>
    <s v="Male"/>
    <x v="2"/>
  </r>
  <r>
    <x v="11"/>
    <n v="39748"/>
    <x v="6"/>
    <s v="Female"/>
    <x v="2"/>
  </r>
  <r>
    <x v="11"/>
    <n v="43769"/>
    <x v="7"/>
    <s v="Male"/>
    <x v="2"/>
  </r>
  <r>
    <x v="11"/>
    <n v="40863"/>
    <x v="7"/>
    <s v="Female"/>
    <x v="2"/>
  </r>
  <r>
    <x v="11"/>
    <n v="44036"/>
    <x v="8"/>
    <s v="Male"/>
    <x v="2"/>
  </r>
  <r>
    <x v="11"/>
    <n v="42320"/>
    <x v="8"/>
    <s v="Female"/>
    <x v="2"/>
  </r>
  <r>
    <x v="11"/>
    <n v="43447"/>
    <x v="9"/>
    <s v="Male"/>
    <x v="2"/>
  </r>
  <r>
    <x v="11"/>
    <n v="45172"/>
    <x v="9"/>
    <s v="Female"/>
    <x v="2"/>
  </r>
  <r>
    <x v="11"/>
    <n v="34501"/>
    <x v="10"/>
    <s v="Male"/>
    <x v="2"/>
  </r>
  <r>
    <x v="11"/>
    <n v="39505"/>
    <x v="10"/>
    <s v="Female"/>
    <x v="2"/>
  </r>
  <r>
    <x v="11"/>
    <n v="28509"/>
    <x v="11"/>
    <s v="Male"/>
    <x v="2"/>
  </r>
  <r>
    <x v="11"/>
    <n v="33744"/>
    <x v="11"/>
    <s v="Female"/>
    <x v="2"/>
  </r>
  <r>
    <x v="11"/>
    <n v="23897"/>
    <x v="12"/>
    <s v="Male"/>
    <x v="2"/>
  </r>
  <r>
    <x v="11"/>
    <n v="28254"/>
    <x v="12"/>
    <s v="Female"/>
    <x v="2"/>
  </r>
  <r>
    <x v="12"/>
    <n v="64867"/>
    <x v="0"/>
    <s v="Male"/>
    <x v="0"/>
  </r>
  <r>
    <x v="12"/>
    <n v="60312"/>
    <x v="0"/>
    <s v="Female"/>
    <x v="0"/>
  </r>
  <r>
    <x v="12"/>
    <n v="60853"/>
    <x v="1"/>
    <s v="Male"/>
    <x v="0"/>
  </r>
  <r>
    <x v="12"/>
    <n v="56004"/>
    <x v="1"/>
    <s v="Female"/>
    <x v="0"/>
  </r>
  <r>
    <x v="12"/>
    <n v="52751"/>
    <x v="2"/>
    <s v="Male"/>
    <x v="0"/>
  </r>
  <r>
    <x v="12"/>
    <n v="48010"/>
    <x v="2"/>
    <s v="Female"/>
    <x v="0"/>
  </r>
  <r>
    <x v="12"/>
    <n v="55906"/>
    <x v="3"/>
    <s v="Male"/>
    <x v="0"/>
  </r>
  <r>
    <x v="12"/>
    <n v="51385"/>
    <x v="3"/>
    <s v="Female"/>
    <x v="0"/>
  </r>
  <r>
    <x v="12"/>
    <n v="58099"/>
    <x v="4"/>
    <s v="Male"/>
    <x v="0"/>
  </r>
  <r>
    <x v="12"/>
    <n v="52868"/>
    <x v="4"/>
    <s v="Female"/>
    <x v="0"/>
  </r>
  <r>
    <x v="12"/>
    <n v="58065"/>
    <x v="5"/>
    <s v="Male"/>
    <x v="0"/>
  </r>
  <r>
    <x v="12"/>
    <n v="53850"/>
    <x v="5"/>
    <s v="Female"/>
    <x v="0"/>
  </r>
  <r>
    <x v="12"/>
    <n v="58223"/>
    <x v="6"/>
    <s v="Male"/>
    <x v="0"/>
  </r>
  <r>
    <x v="12"/>
    <n v="54993"/>
    <x v="6"/>
    <s v="Female"/>
    <x v="0"/>
  </r>
  <r>
    <x v="12"/>
    <n v="61119"/>
    <x v="7"/>
    <s v="Male"/>
    <x v="0"/>
  </r>
  <r>
    <x v="12"/>
    <n v="57109"/>
    <x v="7"/>
    <s v="Female"/>
    <x v="0"/>
  </r>
  <r>
    <x v="12"/>
    <n v="51374"/>
    <x v="8"/>
    <s v="Male"/>
    <x v="0"/>
  </r>
  <r>
    <x v="12"/>
    <n v="52529"/>
    <x v="8"/>
    <s v="Female"/>
    <x v="0"/>
  </r>
  <r>
    <x v="12"/>
    <n v="41178"/>
    <x v="9"/>
    <s v="Male"/>
    <x v="0"/>
  </r>
  <r>
    <x v="12"/>
    <n v="44428"/>
    <x v="9"/>
    <s v="Female"/>
    <x v="0"/>
  </r>
  <r>
    <x v="12"/>
    <n v="35764"/>
    <x v="10"/>
    <s v="Male"/>
    <x v="0"/>
  </r>
  <r>
    <x v="12"/>
    <n v="39390"/>
    <x v="10"/>
    <s v="Female"/>
    <x v="0"/>
  </r>
  <r>
    <x v="12"/>
    <n v="33217"/>
    <x v="11"/>
    <s v="Male"/>
    <x v="0"/>
  </r>
  <r>
    <x v="12"/>
    <n v="36996"/>
    <x v="11"/>
    <s v="Female"/>
    <x v="0"/>
  </r>
  <r>
    <x v="12"/>
    <n v="26510"/>
    <x v="12"/>
    <s v="Male"/>
    <x v="0"/>
  </r>
  <r>
    <x v="12"/>
    <n v="31899"/>
    <x v="12"/>
    <s v="Female"/>
    <x v="0"/>
  </r>
  <r>
    <x v="12"/>
    <n v="56414"/>
    <x v="0"/>
    <s v="Male"/>
    <x v="1"/>
  </r>
  <r>
    <x v="12"/>
    <n v="51298"/>
    <x v="0"/>
    <s v="Female"/>
    <x v="1"/>
  </r>
  <r>
    <x v="12"/>
    <n v="65119"/>
    <x v="1"/>
    <s v="Male"/>
    <x v="1"/>
  </r>
  <r>
    <x v="12"/>
    <n v="60248"/>
    <x v="1"/>
    <s v="Female"/>
    <x v="1"/>
  </r>
  <r>
    <x v="12"/>
    <n v="59704"/>
    <x v="2"/>
    <s v="Male"/>
    <x v="1"/>
  </r>
  <r>
    <x v="12"/>
    <n v="55223"/>
    <x v="2"/>
    <s v="Female"/>
    <x v="1"/>
  </r>
  <r>
    <x v="12"/>
    <n v="52269"/>
    <x v="3"/>
    <s v="Male"/>
    <x v="1"/>
  </r>
  <r>
    <x v="12"/>
    <n v="47809"/>
    <x v="3"/>
    <s v="Female"/>
    <x v="1"/>
  </r>
  <r>
    <x v="12"/>
    <n v="55032"/>
    <x v="4"/>
    <s v="Male"/>
    <x v="1"/>
  </r>
  <r>
    <x v="12"/>
    <n v="50923"/>
    <x v="4"/>
    <s v="Female"/>
    <x v="1"/>
  </r>
  <r>
    <x v="12"/>
    <n v="56960"/>
    <x v="5"/>
    <s v="Male"/>
    <x v="1"/>
  </r>
  <r>
    <x v="12"/>
    <n v="52502"/>
    <x v="5"/>
    <s v="Female"/>
    <x v="1"/>
  </r>
  <r>
    <x v="12"/>
    <n v="56539"/>
    <x v="6"/>
    <s v="Male"/>
    <x v="1"/>
  </r>
  <r>
    <x v="12"/>
    <n v="53381"/>
    <x v="6"/>
    <s v="Female"/>
    <x v="1"/>
  </r>
  <r>
    <x v="12"/>
    <n v="57431"/>
    <x v="7"/>
    <s v="Male"/>
    <x v="1"/>
  </r>
  <r>
    <x v="12"/>
    <n v="53856"/>
    <x v="7"/>
    <s v="Female"/>
    <x v="1"/>
  </r>
  <r>
    <x v="12"/>
    <n v="55677"/>
    <x v="8"/>
    <s v="Male"/>
    <x v="1"/>
  </r>
  <r>
    <x v="12"/>
    <n v="54549"/>
    <x v="8"/>
    <s v="Female"/>
    <x v="1"/>
  </r>
  <r>
    <x v="12"/>
    <n v="46578"/>
    <x v="9"/>
    <s v="Male"/>
    <x v="1"/>
  </r>
  <r>
    <x v="12"/>
    <n v="49941"/>
    <x v="9"/>
    <s v="Female"/>
    <x v="1"/>
  </r>
  <r>
    <x v="12"/>
    <n v="37658"/>
    <x v="10"/>
    <s v="Male"/>
    <x v="1"/>
  </r>
  <r>
    <x v="12"/>
    <n v="42119"/>
    <x v="10"/>
    <s v="Female"/>
    <x v="1"/>
  </r>
  <r>
    <x v="12"/>
    <n v="34768"/>
    <x v="11"/>
    <s v="Male"/>
    <x v="1"/>
  </r>
  <r>
    <x v="12"/>
    <n v="38229"/>
    <x v="11"/>
    <s v="Female"/>
    <x v="1"/>
  </r>
  <r>
    <x v="12"/>
    <n v="29852"/>
    <x v="12"/>
    <s v="Male"/>
    <x v="1"/>
  </r>
  <r>
    <x v="12"/>
    <n v="34084"/>
    <x v="12"/>
    <s v="Female"/>
    <x v="1"/>
  </r>
  <r>
    <x v="12"/>
    <n v="54710"/>
    <x v="0"/>
    <s v="Male"/>
    <x v="2"/>
  </r>
  <r>
    <x v="12"/>
    <n v="50289"/>
    <x v="0"/>
    <s v="Female"/>
    <x v="2"/>
  </r>
  <r>
    <x v="12"/>
    <n v="56509"/>
    <x v="1"/>
    <s v="Male"/>
    <x v="2"/>
  </r>
  <r>
    <x v="12"/>
    <n v="50439"/>
    <x v="1"/>
    <s v="Female"/>
    <x v="2"/>
  </r>
  <r>
    <x v="12"/>
    <n v="61632"/>
    <x v="2"/>
    <s v="Male"/>
    <x v="2"/>
  </r>
  <r>
    <x v="12"/>
    <n v="57501"/>
    <x v="2"/>
    <s v="Female"/>
    <x v="2"/>
  </r>
  <r>
    <x v="12"/>
    <n v="57175"/>
    <x v="3"/>
    <s v="Male"/>
    <x v="2"/>
  </r>
  <r>
    <x v="12"/>
    <n v="53426"/>
    <x v="3"/>
    <s v="Female"/>
    <x v="2"/>
  </r>
  <r>
    <x v="12"/>
    <n v="49995"/>
    <x v="4"/>
    <s v="Male"/>
    <x v="2"/>
  </r>
  <r>
    <x v="12"/>
    <n v="46281"/>
    <x v="4"/>
    <s v="Female"/>
    <x v="2"/>
  </r>
  <r>
    <x v="12"/>
    <n v="52835"/>
    <x v="5"/>
    <s v="Male"/>
    <x v="2"/>
  </r>
  <r>
    <x v="12"/>
    <n v="49479"/>
    <x v="5"/>
    <s v="Female"/>
    <x v="2"/>
  </r>
  <r>
    <x v="12"/>
    <n v="54415"/>
    <x v="6"/>
    <s v="Male"/>
    <x v="2"/>
  </r>
  <r>
    <x v="12"/>
    <n v="51195"/>
    <x v="6"/>
    <s v="Female"/>
    <x v="2"/>
  </r>
  <r>
    <x v="12"/>
    <n v="52175"/>
    <x v="7"/>
    <s v="Male"/>
    <x v="2"/>
  </r>
  <r>
    <x v="12"/>
    <n v="49697"/>
    <x v="7"/>
    <s v="Female"/>
    <x v="2"/>
  </r>
  <r>
    <x v="12"/>
    <n v="52617"/>
    <x v="8"/>
    <s v="Male"/>
    <x v="2"/>
  </r>
  <r>
    <x v="12"/>
    <n v="51455"/>
    <x v="8"/>
    <s v="Female"/>
    <x v="2"/>
  </r>
  <r>
    <x v="12"/>
    <n v="50951"/>
    <x v="9"/>
    <s v="Male"/>
    <x v="2"/>
  </r>
  <r>
    <x v="12"/>
    <n v="51893"/>
    <x v="9"/>
    <s v="Female"/>
    <x v="2"/>
  </r>
  <r>
    <x v="12"/>
    <n v="43053"/>
    <x v="10"/>
    <s v="Male"/>
    <x v="2"/>
  </r>
  <r>
    <x v="12"/>
    <n v="47837"/>
    <x v="10"/>
    <s v="Female"/>
    <x v="2"/>
  </r>
  <r>
    <x v="12"/>
    <n v="35866"/>
    <x v="11"/>
    <s v="Male"/>
    <x v="2"/>
  </r>
  <r>
    <x v="12"/>
    <n v="41572"/>
    <x v="11"/>
    <s v="Female"/>
    <x v="2"/>
  </r>
  <r>
    <x v="12"/>
    <n v="31324"/>
    <x v="12"/>
    <s v="Male"/>
    <x v="2"/>
  </r>
  <r>
    <x v="12"/>
    <n v="35913"/>
    <x v="12"/>
    <s v="Female"/>
    <x v="2"/>
  </r>
  <r>
    <x v="13"/>
    <n v="62814"/>
    <x v="0"/>
    <s v="Male"/>
    <x v="0"/>
  </r>
  <r>
    <x v="13"/>
    <n v="58883"/>
    <x v="0"/>
    <s v="Female"/>
    <x v="0"/>
  </r>
  <r>
    <x v="13"/>
    <n v="62481"/>
    <x v="1"/>
    <s v="Male"/>
    <x v="0"/>
  </r>
  <r>
    <x v="13"/>
    <n v="57810"/>
    <x v="1"/>
    <s v="Female"/>
    <x v="0"/>
  </r>
  <r>
    <x v="13"/>
    <n v="49111"/>
    <x v="2"/>
    <s v="Male"/>
    <x v="0"/>
  </r>
  <r>
    <x v="13"/>
    <n v="43992"/>
    <x v="2"/>
    <s v="Female"/>
    <x v="0"/>
  </r>
  <r>
    <x v="13"/>
    <n v="57535"/>
    <x v="3"/>
    <s v="Male"/>
    <x v="0"/>
  </r>
  <r>
    <x v="13"/>
    <n v="53423"/>
    <x v="3"/>
    <s v="Female"/>
    <x v="0"/>
  </r>
  <r>
    <x v="13"/>
    <n v="60096"/>
    <x v="4"/>
    <s v="Male"/>
    <x v="0"/>
  </r>
  <r>
    <x v="13"/>
    <n v="56082"/>
    <x v="4"/>
    <s v="Female"/>
    <x v="0"/>
  </r>
  <r>
    <x v="13"/>
    <n v="58588"/>
    <x v="5"/>
    <s v="Male"/>
    <x v="0"/>
  </r>
  <r>
    <x v="13"/>
    <n v="55068"/>
    <x v="5"/>
    <s v="Female"/>
    <x v="0"/>
  </r>
  <r>
    <x v="13"/>
    <n v="61850"/>
    <x v="6"/>
    <s v="Male"/>
    <x v="0"/>
  </r>
  <r>
    <x v="13"/>
    <n v="57745"/>
    <x v="6"/>
    <s v="Female"/>
    <x v="0"/>
  </r>
  <r>
    <x v="13"/>
    <n v="66974"/>
    <x v="7"/>
    <s v="Male"/>
    <x v="0"/>
  </r>
  <r>
    <x v="13"/>
    <n v="62603"/>
    <x v="7"/>
    <s v="Female"/>
    <x v="0"/>
  </r>
  <r>
    <x v="13"/>
    <n v="55224"/>
    <x v="8"/>
    <s v="Male"/>
    <x v="0"/>
  </r>
  <r>
    <x v="13"/>
    <n v="55953"/>
    <x v="8"/>
    <s v="Female"/>
    <x v="0"/>
  </r>
  <r>
    <x v="13"/>
    <n v="45659"/>
    <x v="9"/>
    <s v="Male"/>
    <x v="0"/>
  </r>
  <r>
    <x v="13"/>
    <n v="49282"/>
    <x v="9"/>
    <s v="Female"/>
    <x v="0"/>
  </r>
  <r>
    <x v="13"/>
    <n v="38120"/>
    <x v="10"/>
    <s v="Male"/>
    <x v="0"/>
  </r>
  <r>
    <x v="13"/>
    <n v="42881"/>
    <x v="10"/>
    <s v="Female"/>
    <x v="0"/>
  </r>
  <r>
    <x v="13"/>
    <n v="35239"/>
    <x v="11"/>
    <s v="Male"/>
    <x v="0"/>
  </r>
  <r>
    <x v="13"/>
    <n v="39946"/>
    <x v="11"/>
    <s v="Female"/>
    <x v="0"/>
  </r>
  <r>
    <x v="13"/>
    <n v="28427"/>
    <x v="12"/>
    <s v="Male"/>
    <x v="0"/>
  </r>
  <r>
    <x v="13"/>
    <n v="33646"/>
    <x v="12"/>
    <s v="Female"/>
    <x v="0"/>
  </r>
  <r>
    <x v="13"/>
    <n v="55908"/>
    <x v="0"/>
    <s v="Male"/>
    <x v="1"/>
  </r>
  <r>
    <x v="13"/>
    <n v="50608"/>
    <x v="0"/>
    <s v="Female"/>
    <x v="1"/>
  </r>
  <r>
    <x v="13"/>
    <n v="63972"/>
    <x v="1"/>
    <s v="Male"/>
    <x v="1"/>
  </r>
  <r>
    <x v="13"/>
    <n v="59420"/>
    <x v="1"/>
    <s v="Female"/>
    <x v="1"/>
  </r>
  <r>
    <x v="13"/>
    <n v="61049"/>
    <x v="2"/>
    <s v="Male"/>
    <x v="1"/>
  </r>
  <r>
    <x v="13"/>
    <n v="56807"/>
    <x v="2"/>
    <s v="Female"/>
    <x v="1"/>
  </r>
  <r>
    <x v="13"/>
    <n v="49091"/>
    <x v="3"/>
    <s v="Male"/>
    <x v="1"/>
  </r>
  <r>
    <x v="13"/>
    <n v="43980"/>
    <x v="3"/>
    <s v="Female"/>
    <x v="1"/>
  </r>
  <r>
    <x v="13"/>
    <n v="56609"/>
    <x v="4"/>
    <s v="Male"/>
    <x v="1"/>
  </r>
  <r>
    <x v="13"/>
    <n v="53114"/>
    <x v="4"/>
    <s v="Female"/>
    <x v="1"/>
  </r>
  <r>
    <x v="13"/>
    <n v="58987"/>
    <x v="5"/>
    <s v="Male"/>
    <x v="1"/>
  </r>
  <r>
    <x v="13"/>
    <n v="55777"/>
    <x v="5"/>
    <s v="Female"/>
    <x v="1"/>
  </r>
  <r>
    <x v="13"/>
    <n v="56479"/>
    <x v="6"/>
    <s v="Male"/>
    <x v="1"/>
  </r>
  <r>
    <x v="13"/>
    <n v="54382"/>
    <x v="6"/>
    <s v="Female"/>
    <x v="1"/>
  </r>
  <r>
    <x v="13"/>
    <n v="62041"/>
    <x v="7"/>
    <s v="Male"/>
    <x v="1"/>
  </r>
  <r>
    <x v="13"/>
    <n v="57124"/>
    <x v="7"/>
    <s v="Female"/>
    <x v="1"/>
  </r>
  <r>
    <x v="13"/>
    <n v="60706"/>
    <x v="8"/>
    <s v="Male"/>
    <x v="1"/>
  </r>
  <r>
    <x v="13"/>
    <n v="60482"/>
    <x v="8"/>
    <s v="Female"/>
    <x v="1"/>
  </r>
  <r>
    <x v="13"/>
    <n v="49842"/>
    <x v="9"/>
    <s v="Male"/>
    <x v="1"/>
  </r>
  <r>
    <x v="13"/>
    <n v="53277"/>
    <x v="9"/>
    <s v="Female"/>
    <x v="1"/>
  </r>
  <r>
    <x v="13"/>
    <n v="41243"/>
    <x v="10"/>
    <s v="Male"/>
    <x v="1"/>
  </r>
  <r>
    <x v="13"/>
    <n v="46566"/>
    <x v="10"/>
    <s v="Female"/>
    <x v="1"/>
  </r>
  <r>
    <x v="13"/>
    <n v="37107"/>
    <x v="11"/>
    <s v="Male"/>
    <x v="1"/>
  </r>
  <r>
    <x v="13"/>
    <n v="41735"/>
    <x v="11"/>
    <s v="Female"/>
    <x v="1"/>
  </r>
  <r>
    <x v="13"/>
    <n v="31640"/>
    <x v="12"/>
    <s v="Male"/>
    <x v="1"/>
  </r>
  <r>
    <x v="13"/>
    <n v="37118"/>
    <x v="12"/>
    <s v="Female"/>
    <x v="1"/>
  </r>
  <r>
    <x v="13"/>
    <n v="52226"/>
    <x v="0"/>
    <s v="Male"/>
    <x v="2"/>
  </r>
  <r>
    <x v="13"/>
    <n v="48619"/>
    <x v="0"/>
    <s v="Female"/>
    <x v="2"/>
  </r>
  <r>
    <x v="13"/>
    <n v="54241"/>
    <x v="1"/>
    <s v="Male"/>
    <x v="2"/>
  </r>
  <r>
    <x v="13"/>
    <n v="48361"/>
    <x v="1"/>
    <s v="Female"/>
    <x v="2"/>
  </r>
  <r>
    <x v="13"/>
    <n v="58877"/>
    <x v="2"/>
    <s v="Male"/>
    <x v="2"/>
  </r>
  <r>
    <x v="13"/>
    <n v="55427"/>
    <x v="2"/>
    <s v="Female"/>
    <x v="2"/>
  </r>
  <r>
    <x v="13"/>
    <n v="56903"/>
    <x v="3"/>
    <s v="Male"/>
    <x v="2"/>
  </r>
  <r>
    <x v="13"/>
    <n v="53596"/>
    <x v="3"/>
    <s v="Female"/>
    <x v="2"/>
  </r>
  <r>
    <x v="13"/>
    <n v="45764"/>
    <x v="4"/>
    <s v="Male"/>
    <x v="2"/>
  </r>
  <r>
    <x v="13"/>
    <n v="41659"/>
    <x v="4"/>
    <s v="Female"/>
    <x v="2"/>
  </r>
  <r>
    <x v="13"/>
    <n v="53134"/>
    <x v="5"/>
    <s v="Male"/>
    <x v="2"/>
  </r>
  <r>
    <x v="13"/>
    <n v="50610"/>
    <x v="5"/>
    <s v="Female"/>
    <x v="2"/>
  </r>
  <r>
    <x v="13"/>
    <n v="54812"/>
    <x v="6"/>
    <s v="Male"/>
    <x v="2"/>
  </r>
  <r>
    <x v="13"/>
    <n v="53114"/>
    <x v="6"/>
    <s v="Female"/>
    <x v="2"/>
  </r>
  <r>
    <x v="13"/>
    <n v="51225"/>
    <x v="7"/>
    <s v="Male"/>
    <x v="2"/>
  </r>
  <r>
    <x v="13"/>
    <n v="49092"/>
    <x v="7"/>
    <s v="Female"/>
    <x v="2"/>
  </r>
  <r>
    <x v="13"/>
    <n v="54933"/>
    <x v="8"/>
    <s v="Male"/>
    <x v="2"/>
  </r>
  <r>
    <x v="13"/>
    <n v="53148"/>
    <x v="8"/>
    <s v="Female"/>
    <x v="2"/>
  </r>
  <r>
    <x v="13"/>
    <n v="53244"/>
    <x v="9"/>
    <s v="Male"/>
    <x v="2"/>
  </r>
  <r>
    <x v="13"/>
    <n v="55570"/>
    <x v="9"/>
    <s v="Female"/>
    <x v="2"/>
  </r>
  <r>
    <x v="13"/>
    <n v="44241"/>
    <x v="10"/>
    <s v="Male"/>
    <x v="2"/>
  </r>
  <r>
    <x v="13"/>
    <n v="49843"/>
    <x v="10"/>
    <s v="Female"/>
    <x v="2"/>
  </r>
  <r>
    <x v="13"/>
    <n v="36556"/>
    <x v="11"/>
    <s v="Male"/>
    <x v="2"/>
  </r>
  <r>
    <x v="13"/>
    <n v="42547"/>
    <x v="11"/>
    <s v="Female"/>
    <x v="2"/>
  </r>
  <r>
    <x v="13"/>
    <n v="31529"/>
    <x v="12"/>
    <s v="Male"/>
    <x v="2"/>
  </r>
  <r>
    <x v="13"/>
    <n v="36804"/>
    <x v="12"/>
    <s v="Female"/>
    <x v="2"/>
  </r>
  <r>
    <x v="14"/>
    <n v="61654"/>
    <x v="0"/>
    <s v="Male"/>
    <x v="0"/>
  </r>
  <r>
    <x v="14"/>
    <n v="58072"/>
    <x v="0"/>
    <s v="Female"/>
    <x v="0"/>
  </r>
  <r>
    <x v="14"/>
    <n v="58580"/>
    <x v="1"/>
    <s v="Male"/>
    <x v="0"/>
  </r>
  <r>
    <x v="14"/>
    <n v="53898"/>
    <x v="1"/>
    <s v="Female"/>
    <x v="0"/>
  </r>
  <r>
    <x v="14"/>
    <n v="48210"/>
    <x v="2"/>
    <s v="Male"/>
    <x v="0"/>
  </r>
  <r>
    <x v="14"/>
    <n v="44797"/>
    <x v="2"/>
    <s v="Female"/>
    <x v="0"/>
  </r>
  <r>
    <x v="14"/>
    <n v="52907"/>
    <x v="3"/>
    <s v="Male"/>
    <x v="0"/>
  </r>
  <r>
    <x v="14"/>
    <n v="49820"/>
    <x v="3"/>
    <s v="Female"/>
    <x v="0"/>
  </r>
  <r>
    <x v="14"/>
    <n v="56557"/>
    <x v="4"/>
    <s v="Male"/>
    <x v="0"/>
  </r>
  <r>
    <x v="14"/>
    <n v="52890"/>
    <x v="4"/>
    <s v="Female"/>
    <x v="0"/>
  </r>
  <r>
    <x v="14"/>
    <n v="57355"/>
    <x v="5"/>
    <s v="Male"/>
    <x v="0"/>
  </r>
  <r>
    <x v="14"/>
    <n v="54104"/>
    <x v="5"/>
    <s v="Female"/>
    <x v="0"/>
  </r>
  <r>
    <x v="14"/>
    <n v="55712"/>
    <x v="6"/>
    <s v="Male"/>
    <x v="0"/>
  </r>
  <r>
    <x v="14"/>
    <n v="53276"/>
    <x v="6"/>
    <s v="Female"/>
    <x v="0"/>
  </r>
  <r>
    <x v="14"/>
    <n v="58842"/>
    <x v="7"/>
    <s v="Male"/>
    <x v="0"/>
  </r>
  <r>
    <x v="14"/>
    <n v="56258"/>
    <x v="7"/>
    <s v="Female"/>
    <x v="0"/>
  </r>
  <r>
    <x v="14"/>
    <n v="49454"/>
    <x v="8"/>
    <s v="Male"/>
    <x v="0"/>
  </r>
  <r>
    <x v="14"/>
    <n v="51596"/>
    <x v="8"/>
    <s v="Female"/>
    <x v="0"/>
  </r>
  <r>
    <x v="14"/>
    <n v="40547"/>
    <x v="9"/>
    <s v="Male"/>
    <x v="0"/>
  </r>
  <r>
    <x v="14"/>
    <n v="43776"/>
    <x v="9"/>
    <s v="Female"/>
    <x v="0"/>
  </r>
  <r>
    <x v="14"/>
    <n v="35046"/>
    <x v="10"/>
    <s v="Male"/>
    <x v="0"/>
  </r>
  <r>
    <x v="14"/>
    <n v="39094"/>
    <x v="10"/>
    <s v="Female"/>
    <x v="0"/>
  </r>
  <r>
    <x v="14"/>
    <n v="34287"/>
    <x v="11"/>
    <s v="Male"/>
    <x v="0"/>
  </r>
  <r>
    <x v="14"/>
    <n v="36460"/>
    <x v="11"/>
    <s v="Female"/>
    <x v="0"/>
  </r>
  <r>
    <x v="14"/>
    <n v="26501"/>
    <x v="12"/>
    <s v="Male"/>
    <x v="0"/>
  </r>
  <r>
    <x v="14"/>
    <n v="30548"/>
    <x v="12"/>
    <s v="Female"/>
    <x v="0"/>
  </r>
  <r>
    <x v="14"/>
    <n v="53106"/>
    <x v="0"/>
    <s v="Male"/>
    <x v="1"/>
  </r>
  <r>
    <x v="14"/>
    <n v="48791"/>
    <x v="0"/>
    <s v="Female"/>
    <x v="1"/>
  </r>
  <r>
    <x v="14"/>
    <n v="61615"/>
    <x v="1"/>
    <s v="Male"/>
    <x v="1"/>
  </r>
  <r>
    <x v="14"/>
    <n v="57839"/>
    <x v="1"/>
    <s v="Female"/>
    <x v="1"/>
  </r>
  <r>
    <x v="14"/>
    <n v="57724"/>
    <x v="2"/>
    <s v="Male"/>
    <x v="1"/>
  </r>
  <r>
    <x v="14"/>
    <n v="53557"/>
    <x v="2"/>
    <s v="Female"/>
    <x v="1"/>
  </r>
  <r>
    <x v="14"/>
    <n v="48068"/>
    <x v="3"/>
    <s v="Male"/>
    <x v="1"/>
  </r>
  <r>
    <x v="14"/>
    <n v="44643"/>
    <x v="3"/>
    <s v="Female"/>
    <x v="1"/>
  </r>
  <r>
    <x v="14"/>
    <n v="52299"/>
    <x v="4"/>
    <s v="Male"/>
    <x v="1"/>
  </r>
  <r>
    <x v="14"/>
    <n v="49639"/>
    <x v="4"/>
    <s v="Female"/>
    <x v="1"/>
  </r>
  <r>
    <x v="14"/>
    <n v="55829"/>
    <x v="5"/>
    <s v="Male"/>
    <x v="1"/>
  </r>
  <r>
    <x v="14"/>
    <n v="52604"/>
    <x v="5"/>
    <s v="Female"/>
    <x v="1"/>
  </r>
  <r>
    <x v="14"/>
    <n v="55877"/>
    <x v="6"/>
    <s v="Male"/>
    <x v="1"/>
  </r>
  <r>
    <x v="14"/>
    <n v="53533"/>
    <x v="6"/>
    <s v="Female"/>
    <x v="1"/>
  </r>
  <r>
    <x v="14"/>
    <n v="56242"/>
    <x v="7"/>
    <s v="Male"/>
    <x v="1"/>
  </r>
  <r>
    <x v="14"/>
    <n v="53543"/>
    <x v="7"/>
    <s v="Female"/>
    <x v="1"/>
  </r>
  <r>
    <x v="14"/>
    <n v="53832"/>
    <x v="8"/>
    <s v="Male"/>
    <x v="1"/>
  </r>
  <r>
    <x v="14"/>
    <n v="54398"/>
    <x v="8"/>
    <s v="Female"/>
    <x v="1"/>
  </r>
  <r>
    <x v="14"/>
    <n v="44857"/>
    <x v="9"/>
    <s v="Male"/>
    <x v="1"/>
  </r>
  <r>
    <x v="14"/>
    <n v="48972"/>
    <x v="9"/>
    <s v="Female"/>
    <x v="1"/>
  </r>
  <r>
    <x v="14"/>
    <n v="36927"/>
    <x v="10"/>
    <s v="Male"/>
    <x v="1"/>
  </r>
  <r>
    <x v="14"/>
    <n v="41492"/>
    <x v="10"/>
    <s v="Female"/>
    <x v="1"/>
  </r>
  <r>
    <x v="14"/>
    <n v="34887"/>
    <x v="11"/>
    <s v="Male"/>
    <x v="1"/>
  </r>
  <r>
    <x v="14"/>
    <n v="38038"/>
    <x v="11"/>
    <s v="Female"/>
    <x v="1"/>
  </r>
  <r>
    <x v="14"/>
    <n v="30218"/>
    <x v="12"/>
    <s v="Male"/>
    <x v="1"/>
  </r>
  <r>
    <x v="14"/>
    <n v="33266"/>
    <x v="12"/>
    <s v="Female"/>
    <x v="1"/>
  </r>
  <r>
    <x v="14"/>
    <n v="51495"/>
    <x v="0"/>
    <s v="Male"/>
    <x v="2"/>
  </r>
  <r>
    <x v="14"/>
    <n v="48800"/>
    <x v="0"/>
    <s v="Female"/>
    <x v="2"/>
  </r>
  <r>
    <x v="14"/>
    <n v="52703"/>
    <x v="1"/>
    <s v="Male"/>
    <x v="2"/>
  </r>
  <r>
    <x v="14"/>
    <n v="47886"/>
    <x v="1"/>
    <s v="Female"/>
    <x v="2"/>
  </r>
  <r>
    <x v="14"/>
    <n v="59327"/>
    <x v="2"/>
    <s v="Male"/>
    <x v="2"/>
  </r>
  <r>
    <x v="14"/>
    <n v="56003"/>
    <x v="2"/>
    <s v="Female"/>
    <x v="2"/>
  </r>
  <r>
    <x v="14"/>
    <n v="55891"/>
    <x v="3"/>
    <s v="Male"/>
    <x v="2"/>
  </r>
  <r>
    <x v="14"/>
    <n v="52028"/>
    <x v="3"/>
    <s v="Female"/>
    <x v="2"/>
  </r>
  <r>
    <x v="14"/>
    <n v="46687"/>
    <x v="4"/>
    <s v="Male"/>
    <x v="2"/>
  </r>
  <r>
    <x v="14"/>
    <n v="43657"/>
    <x v="4"/>
    <s v="Female"/>
    <x v="2"/>
  </r>
  <r>
    <x v="14"/>
    <n v="50830"/>
    <x v="5"/>
    <s v="Male"/>
    <x v="2"/>
  </r>
  <r>
    <x v="14"/>
    <n v="48656"/>
    <x v="5"/>
    <s v="Female"/>
    <x v="2"/>
  </r>
  <r>
    <x v="14"/>
    <n v="53854"/>
    <x v="6"/>
    <s v="Male"/>
    <x v="2"/>
  </r>
  <r>
    <x v="14"/>
    <n v="51324"/>
    <x v="6"/>
    <s v="Female"/>
    <x v="2"/>
  </r>
  <r>
    <x v="14"/>
    <n v="52029"/>
    <x v="7"/>
    <s v="Male"/>
    <x v="2"/>
  </r>
  <r>
    <x v="14"/>
    <n v="50357"/>
    <x v="7"/>
    <s v="Female"/>
    <x v="2"/>
  </r>
  <r>
    <x v="14"/>
    <n v="51763"/>
    <x v="8"/>
    <s v="Male"/>
    <x v="2"/>
  </r>
  <r>
    <x v="14"/>
    <n v="51023"/>
    <x v="8"/>
    <s v="Female"/>
    <x v="2"/>
  </r>
  <r>
    <x v="14"/>
    <n v="49299"/>
    <x v="9"/>
    <s v="Male"/>
    <x v="2"/>
  </r>
  <r>
    <x v="14"/>
    <n v="51905"/>
    <x v="9"/>
    <s v="Female"/>
    <x v="2"/>
  </r>
  <r>
    <x v="14"/>
    <n v="41287"/>
    <x v="10"/>
    <s v="Male"/>
    <x v="2"/>
  </r>
  <r>
    <x v="14"/>
    <n v="46737"/>
    <x v="10"/>
    <s v="Female"/>
    <x v="2"/>
  </r>
  <r>
    <x v="14"/>
    <n v="35371"/>
    <x v="11"/>
    <s v="Male"/>
    <x v="2"/>
  </r>
  <r>
    <x v="14"/>
    <n v="40860"/>
    <x v="11"/>
    <s v="Female"/>
    <x v="2"/>
  </r>
  <r>
    <x v="14"/>
    <n v="31281"/>
    <x v="12"/>
    <s v="Male"/>
    <x v="2"/>
  </r>
  <r>
    <x v="14"/>
    <n v="35597"/>
    <x v="12"/>
    <s v="Female"/>
    <x v="2"/>
  </r>
  <r>
    <x v="15"/>
    <n v="37156"/>
    <x v="0"/>
    <s v="Male"/>
    <x v="0"/>
  </r>
  <r>
    <x v="15"/>
    <n v="34644"/>
    <x v="0"/>
    <s v="Female"/>
    <x v="0"/>
  </r>
  <r>
    <x v="15"/>
    <n v="35268"/>
    <x v="1"/>
    <s v="Male"/>
    <x v="0"/>
  </r>
  <r>
    <x v="15"/>
    <n v="32132"/>
    <x v="1"/>
    <s v="Female"/>
    <x v="0"/>
  </r>
  <r>
    <x v="15"/>
    <n v="29943"/>
    <x v="2"/>
    <s v="Male"/>
    <x v="0"/>
  </r>
  <r>
    <x v="15"/>
    <n v="26993"/>
    <x v="2"/>
    <s v="Female"/>
    <x v="0"/>
  </r>
  <r>
    <x v="15"/>
    <n v="32977"/>
    <x v="3"/>
    <s v="Male"/>
    <x v="0"/>
  </r>
  <r>
    <x v="15"/>
    <n v="30396"/>
    <x v="3"/>
    <s v="Female"/>
    <x v="0"/>
  </r>
  <r>
    <x v="15"/>
    <n v="33592"/>
    <x v="4"/>
    <s v="Male"/>
    <x v="0"/>
  </r>
  <r>
    <x v="15"/>
    <n v="31262"/>
    <x v="4"/>
    <s v="Female"/>
    <x v="0"/>
  </r>
  <r>
    <x v="15"/>
    <n v="34526"/>
    <x v="5"/>
    <s v="Male"/>
    <x v="0"/>
  </r>
  <r>
    <x v="15"/>
    <n v="31884"/>
    <x v="5"/>
    <s v="Female"/>
    <x v="0"/>
  </r>
  <r>
    <x v="15"/>
    <n v="33718"/>
    <x v="6"/>
    <s v="Male"/>
    <x v="0"/>
  </r>
  <r>
    <x v="15"/>
    <n v="31330"/>
    <x v="6"/>
    <s v="Female"/>
    <x v="0"/>
  </r>
  <r>
    <x v="15"/>
    <n v="35609"/>
    <x v="7"/>
    <s v="Male"/>
    <x v="0"/>
  </r>
  <r>
    <x v="15"/>
    <n v="32811"/>
    <x v="7"/>
    <s v="Female"/>
    <x v="0"/>
  </r>
  <r>
    <x v="15"/>
    <n v="32403"/>
    <x v="8"/>
    <s v="Male"/>
    <x v="0"/>
  </r>
  <r>
    <x v="15"/>
    <n v="31670"/>
    <x v="8"/>
    <s v="Female"/>
    <x v="0"/>
  </r>
  <r>
    <x v="15"/>
    <n v="27260"/>
    <x v="9"/>
    <s v="Male"/>
    <x v="0"/>
  </r>
  <r>
    <x v="15"/>
    <n v="28426"/>
    <x v="9"/>
    <s v="Female"/>
    <x v="0"/>
  </r>
  <r>
    <x v="15"/>
    <n v="23527"/>
    <x v="10"/>
    <s v="Male"/>
    <x v="0"/>
  </r>
  <r>
    <x v="15"/>
    <n v="25040"/>
    <x v="10"/>
    <s v="Female"/>
    <x v="0"/>
  </r>
  <r>
    <x v="15"/>
    <n v="21670"/>
    <x v="11"/>
    <s v="Male"/>
    <x v="0"/>
  </r>
  <r>
    <x v="15"/>
    <n v="22367"/>
    <x v="11"/>
    <s v="Female"/>
    <x v="0"/>
  </r>
  <r>
    <x v="15"/>
    <n v="17536"/>
    <x v="12"/>
    <s v="Male"/>
    <x v="0"/>
  </r>
  <r>
    <x v="15"/>
    <n v="19213"/>
    <x v="12"/>
    <s v="Female"/>
    <x v="0"/>
  </r>
  <r>
    <x v="15"/>
    <n v="31562"/>
    <x v="0"/>
    <s v="Male"/>
    <x v="1"/>
  </r>
  <r>
    <x v="15"/>
    <n v="28137"/>
    <x v="0"/>
    <s v="Female"/>
    <x v="1"/>
  </r>
  <r>
    <x v="15"/>
    <n v="37692"/>
    <x v="1"/>
    <s v="Male"/>
    <x v="1"/>
  </r>
  <r>
    <x v="15"/>
    <n v="34796"/>
    <x v="1"/>
    <s v="Female"/>
    <x v="1"/>
  </r>
  <r>
    <x v="15"/>
    <n v="34542"/>
    <x v="2"/>
    <s v="Male"/>
    <x v="1"/>
  </r>
  <r>
    <x v="15"/>
    <n v="31702"/>
    <x v="2"/>
    <s v="Female"/>
    <x v="1"/>
  </r>
  <r>
    <x v="15"/>
    <n v="29678"/>
    <x v="3"/>
    <s v="Male"/>
    <x v="1"/>
  </r>
  <r>
    <x v="15"/>
    <n v="26834"/>
    <x v="3"/>
    <s v="Female"/>
    <x v="1"/>
  </r>
  <r>
    <x v="15"/>
    <n v="32494"/>
    <x v="4"/>
    <s v="Male"/>
    <x v="1"/>
  </r>
  <r>
    <x v="15"/>
    <n v="30171"/>
    <x v="4"/>
    <s v="Female"/>
    <x v="1"/>
  </r>
  <r>
    <x v="15"/>
    <n v="33022"/>
    <x v="5"/>
    <s v="Male"/>
    <x v="1"/>
  </r>
  <r>
    <x v="15"/>
    <n v="31056"/>
    <x v="5"/>
    <s v="Female"/>
    <x v="1"/>
  </r>
  <r>
    <x v="15"/>
    <n v="33784"/>
    <x v="6"/>
    <s v="Male"/>
    <x v="1"/>
  </r>
  <r>
    <x v="15"/>
    <n v="31531"/>
    <x v="6"/>
    <s v="Female"/>
    <x v="1"/>
  </r>
  <r>
    <x v="15"/>
    <n v="33221"/>
    <x v="7"/>
    <s v="Male"/>
    <x v="1"/>
  </r>
  <r>
    <x v="15"/>
    <n v="30857"/>
    <x v="7"/>
    <s v="Female"/>
    <x v="1"/>
  </r>
  <r>
    <x v="15"/>
    <n v="33567"/>
    <x v="8"/>
    <s v="Male"/>
    <x v="1"/>
  </r>
  <r>
    <x v="15"/>
    <n v="31864"/>
    <x v="8"/>
    <s v="Female"/>
    <x v="1"/>
  </r>
  <r>
    <x v="15"/>
    <n v="29748"/>
    <x v="9"/>
    <s v="Male"/>
    <x v="1"/>
  </r>
  <r>
    <x v="15"/>
    <n v="30312"/>
    <x v="9"/>
    <s v="Female"/>
    <x v="1"/>
  </r>
  <r>
    <x v="15"/>
    <n v="25273"/>
    <x v="10"/>
    <s v="Male"/>
    <x v="1"/>
  </r>
  <r>
    <x v="15"/>
    <n v="26862"/>
    <x v="10"/>
    <s v="Female"/>
    <x v="1"/>
  </r>
  <r>
    <x v="15"/>
    <n v="22673"/>
    <x v="11"/>
    <s v="Male"/>
    <x v="1"/>
  </r>
  <r>
    <x v="15"/>
    <n v="23383"/>
    <x v="11"/>
    <s v="Female"/>
    <x v="1"/>
  </r>
  <r>
    <x v="15"/>
    <n v="19554"/>
    <x v="12"/>
    <s v="Male"/>
    <x v="1"/>
  </r>
  <r>
    <x v="15"/>
    <n v="20921"/>
    <x v="12"/>
    <s v="Female"/>
    <x v="1"/>
  </r>
  <r>
    <x v="15"/>
    <n v="32679"/>
    <x v="0"/>
    <s v="Male"/>
    <x v="2"/>
  </r>
  <r>
    <x v="15"/>
    <n v="30523"/>
    <x v="0"/>
    <s v="Female"/>
    <x v="2"/>
  </r>
  <r>
    <x v="15"/>
    <n v="32747"/>
    <x v="1"/>
    <s v="Male"/>
    <x v="2"/>
  </r>
  <r>
    <x v="15"/>
    <n v="28502"/>
    <x v="1"/>
    <s v="Female"/>
    <x v="2"/>
  </r>
  <r>
    <x v="15"/>
    <n v="36346"/>
    <x v="2"/>
    <s v="Male"/>
    <x v="2"/>
  </r>
  <r>
    <x v="15"/>
    <n v="33806"/>
    <x v="2"/>
    <s v="Female"/>
    <x v="2"/>
  </r>
  <r>
    <x v="15"/>
    <n v="33856"/>
    <x v="3"/>
    <s v="Male"/>
    <x v="2"/>
  </r>
  <r>
    <x v="15"/>
    <n v="31280"/>
    <x v="3"/>
    <s v="Female"/>
    <x v="2"/>
  </r>
  <r>
    <x v="15"/>
    <n v="29217"/>
    <x v="4"/>
    <s v="Male"/>
    <x v="2"/>
  </r>
  <r>
    <x v="15"/>
    <n v="26505"/>
    <x v="4"/>
    <s v="Female"/>
    <x v="2"/>
  </r>
  <r>
    <x v="15"/>
    <n v="32125"/>
    <x v="5"/>
    <s v="Male"/>
    <x v="2"/>
  </r>
  <r>
    <x v="15"/>
    <n v="29827"/>
    <x v="5"/>
    <s v="Female"/>
    <x v="2"/>
  </r>
  <r>
    <x v="15"/>
    <n v="32250"/>
    <x v="6"/>
    <s v="Male"/>
    <x v="2"/>
  </r>
  <r>
    <x v="15"/>
    <n v="30763"/>
    <x v="6"/>
    <s v="Female"/>
    <x v="2"/>
  </r>
  <r>
    <x v="15"/>
    <n v="32366"/>
    <x v="7"/>
    <s v="Male"/>
    <x v="2"/>
  </r>
  <r>
    <x v="15"/>
    <n v="30177"/>
    <x v="7"/>
    <s v="Female"/>
    <x v="2"/>
  </r>
  <r>
    <x v="15"/>
    <n v="32111"/>
    <x v="8"/>
    <s v="Male"/>
    <x v="2"/>
  </r>
  <r>
    <x v="15"/>
    <n v="30278"/>
    <x v="8"/>
    <s v="Female"/>
    <x v="2"/>
  </r>
  <r>
    <x v="15"/>
    <n v="31733"/>
    <x v="9"/>
    <s v="Male"/>
    <x v="2"/>
  </r>
  <r>
    <x v="15"/>
    <n v="31074"/>
    <x v="9"/>
    <s v="Female"/>
    <x v="2"/>
  </r>
  <r>
    <x v="15"/>
    <n v="28298"/>
    <x v="10"/>
    <s v="Male"/>
    <x v="2"/>
  </r>
  <r>
    <x v="15"/>
    <n v="29611"/>
    <x v="10"/>
    <s v="Female"/>
    <x v="2"/>
  </r>
  <r>
    <x v="15"/>
    <n v="24356"/>
    <x v="11"/>
    <s v="Male"/>
    <x v="2"/>
  </r>
  <r>
    <x v="15"/>
    <n v="26473"/>
    <x v="11"/>
    <s v="Female"/>
    <x v="2"/>
  </r>
  <r>
    <x v="15"/>
    <n v="20783"/>
    <x v="12"/>
    <s v="Male"/>
    <x v="2"/>
  </r>
  <r>
    <x v="15"/>
    <n v="22315"/>
    <x v="12"/>
    <s v="Female"/>
    <x v="2"/>
  </r>
  <r>
    <x v="16"/>
    <n v="51985"/>
    <x v="0"/>
    <s v="Male"/>
    <x v="0"/>
  </r>
  <r>
    <x v="16"/>
    <n v="52295"/>
    <x v="0"/>
    <s v="Female"/>
    <x v="0"/>
  </r>
  <r>
    <x v="16"/>
    <n v="50206"/>
    <x v="1"/>
    <s v="Male"/>
    <x v="0"/>
  </r>
  <r>
    <x v="16"/>
    <n v="49137"/>
    <x v="1"/>
    <s v="Female"/>
    <x v="0"/>
  </r>
  <r>
    <x v="16"/>
    <n v="46713"/>
    <x v="2"/>
    <s v="Male"/>
    <x v="0"/>
  </r>
  <r>
    <x v="16"/>
    <n v="46213"/>
    <x v="2"/>
    <s v="Female"/>
    <x v="0"/>
  </r>
  <r>
    <x v="16"/>
    <n v="44024"/>
    <x v="3"/>
    <s v="Male"/>
    <x v="0"/>
  </r>
  <r>
    <x v="16"/>
    <n v="43753"/>
    <x v="3"/>
    <s v="Female"/>
    <x v="0"/>
  </r>
  <r>
    <x v="16"/>
    <n v="40514"/>
    <x v="4"/>
    <s v="Male"/>
    <x v="0"/>
  </r>
  <r>
    <x v="16"/>
    <n v="41388"/>
    <x v="4"/>
    <s v="Female"/>
    <x v="0"/>
  </r>
  <r>
    <x v="16"/>
    <n v="38351"/>
    <x v="5"/>
    <s v="Male"/>
    <x v="0"/>
  </r>
  <r>
    <x v="16"/>
    <n v="40389"/>
    <x v="5"/>
    <s v="Female"/>
    <x v="0"/>
  </r>
  <r>
    <x v="16"/>
    <n v="35372"/>
    <x v="6"/>
    <s v="Male"/>
    <x v="0"/>
  </r>
  <r>
    <x v="16"/>
    <n v="38770"/>
    <x v="6"/>
    <s v="Female"/>
    <x v="0"/>
  </r>
  <r>
    <x v="16"/>
    <n v="28453"/>
    <x v="7"/>
    <s v="Male"/>
    <x v="0"/>
  </r>
  <r>
    <x v="16"/>
    <n v="32446"/>
    <x v="7"/>
    <s v="Female"/>
    <x v="0"/>
  </r>
  <r>
    <x v="16"/>
    <n v="23487"/>
    <x v="8"/>
    <s v="Male"/>
    <x v="0"/>
  </r>
  <r>
    <x v="16"/>
    <n v="28061"/>
    <x v="8"/>
    <s v="Female"/>
    <x v="0"/>
  </r>
  <r>
    <x v="16"/>
    <n v="19705"/>
    <x v="9"/>
    <s v="Male"/>
    <x v="0"/>
  </r>
  <r>
    <x v="16"/>
    <n v="24864"/>
    <x v="9"/>
    <s v="Female"/>
    <x v="0"/>
  </r>
  <r>
    <x v="16"/>
    <n v="16223"/>
    <x v="10"/>
    <s v="Male"/>
    <x v="0"/>
  </r>
  <r>
    <x v="16"/>
    <n v="22118"/>
    <x v="10"/>
    <s v="Female"/>
    <x v="0"/>
  </r>
  <r>
    <x v="16"/>
    <n v="11736"/>
    <x v="11"/>
    <s v="Male"/>
    <x v="0"/>
  </r>
  <r>
    <x v="16"/>
    <n v="15652"/>
    <x v="11"/>
    <s v="Female"/>
    <x v="0"/>
  </r>
  <r>
    <x v="16"/>
    <n v="8673"/>
    <x v="12"/>
    <s v="Male"/>
    <x v="0"/>
  </r>
  <r>
    <x v="16"/>
    <n v="12279"/>
    <x v="12"/>
    <s v="Female"/>
    <x v="0"/>
  </r>
  <r>
    <x v="16"/>
    <n v="52637"/>
    <x v="0"/>
    <s v="Male"/>
    <x v="1"/>
  </r>
  <r>
    <x v="16"/>
    <n v="52530"/>
    <x v="0"/>
    <s v="Female"/>
    <x v="1"/>
  </r>
  <r>
    <x v="16"/>
    <n v="52244"/>
    <x v="1"/>
    <s v="Male"/>
    <x v="1"/>
  </r>
  <r>
    <x v="16"/>
    <n v="51255"/>
    <x v="1"/>
    <s v="Female"/>
    <x v="1"/>
  </r>
  <r>
    <x v="16"/>
    <n v="47630"/>
    <x v="2"/>
    <s v="Male"/>
    <x v="1"/>
  </r>
  <r>
    <x v="16"/>
    <n v="46573"/>
    <x v="2"/>
    <s v="Female"/>
    <x v="1"/>
  </r>
  <r>
    <x v="16"/>
    <n v="43660"/>
    <x v="3"/>
    <s v="Male"/>
    <x v="1"/>
  </r>
  <r>
    <x v="16"/>
    <n v="43309"/>
    <x v="3"/>
    <s v="Female"/>
    <x v="1"/>
  </r>
  <r>
    <x v="16"/>
    <n v="40821"/>
    <x v="4"/>
    <s v="Male"/>
    <x v="1"/>
  </r>
  <r>
    <x v="16"/>
    <n v="40902"/>
    <x v="4"/>
    <s v="Female"/>
    <x v="1"/>
  </r>
  <r>
    <x v="16"/>
    <n v="37387"/>
    <x v="5"/>
    <s v="Male"/>
    <x v="1"/>
  </r>
  <r>
    <x v="16"/>
    <n v="39159"/>
    <x v="5"/>
    <s v="Female"/>
    <x v="1"/>
  </r>
  <r>
    <x v="16"/>
    <n v="35226"/>
    <x v="6"/>
    <s v="Male"/>
    <x v="1"/>
  </r>
  <r>
    <x v="16"/>
    <n v="38440"/>
    <x v="6"/>
    <s v="Female"/>
    <x v="1"/>
  </r>
  <r>
    <x v="16"/>
    <n v="30223"/>
    <x v="7"/>
    <s v="Male"/>
    <x v="1"/>
  </r>
  <r>
    <x v="16"/>
    <n v="33221"/>
    <x v="7"/>
    <s v="Female"/>
    <x v="1"/>
  </r>
  <r>
    <x v="16"/>
    <n v="26073"/>
    <x v="8"/>
    <s v="Male"/>
    <x v="1"/>
  </r>
  <r>
    <x v="16"/>
    <n v="31189"/>
    <x v="8"/>
    <s v="Female"/>
    <x v="1"/>
  </r>
  <r>
    <x v="16"/>
    <n v="21489"/>
    <x v="9"/>
    <s v="Male"/>
    <x v="1"/>
  </r>
  <r>
    <x v="16"/>
    <n v="26635"/>
    <x v="9"/>
    <s v="Female"/>
    <x v="1"/>
  </r>
  <r>
    <x v="16"/>
    <n v="18457"/>
    <x v="10"/>
    <s v="Male"/>
    <x v="1"/>
  </r>
  <r>
    <x v="16"/>
    <n v="23666"/>
    <x v="10"/>
    <s v="Female"/>
    <x v="1"/>
  </r>
  <r>
    <x v="16"/>
    <n v="13884"/>
    <x v="11"/>
    <s v="Male"/>
    <x v="1"/>
  </r>
  <r>
    <x v="16"/>
    <n v="18871"/>
    <x v="11"/>
    <s v="Female"/>
    <x v="1"/>
  </r>
  <r>
    <x v="16"/>
    <n v="10670"/>
    <x v="12"/>
    <s v="Male"/>
    <x v="1"/>
  </r>
  <r>
    <x v="16"/>
    <n v="14530"/>
    <x v="12"/>
    <s v="Female"/>
    <x v="1"/>
  </r>
  <r>
    <x v="16"/>
    <n v="47135"/>
    <x v="0"/>
    <s v="Male"/>
    <x v="2"/>
  </r>
  <r>
    <x v="16"/>
    <n v="46965"/>
    <x v="0"/>
    <s v="Female"/>
    <x v="2"/>
  </r>
  <r>
    <x v="16"/>
    <n v="49912"/>
    <x v="1"/>
    <s v="Male"/>
    <x v="2"/>
  </r>
  <r>
    <x v="16"/>
    <n v="48604"/>
    <x v="1"/>
    <s v="Female"/>
    <x v="2"/>
  </r>
  <r>
    <x v="16"/>
    <n v="47070"/>
    <x v="2"/>
    <s v="Male"/>
    <x v="2"/>
  </r>
  <r>
    <x v="16"/>
    <n v="46415"/>
    <x v="2"/>
    <s v="Female"/>
    <x v="2"/>
  </r>
  <r>
    <x v="16"/>
    <n v="43305"/>
    <x v="3"/>
    <s v="Male"/>
    <x v="2"/>
  </r>
  <r>
    <x v="16"/>
    <n v="42552"/>
    <x v="3"/>
    <s v="Female"/>
    <x v="2"/>
  </r>
  <r>
    <x v="16"/>
    <n v="39695"/>
    <x v="4"/>
    <s v="Male"/>
    <x v="2"/>
  </r>
  <r>
    <x v="16"/>
    <n v="39824"/>
    <x v="4"/>
    <s v="Female"/>
    <x v="2"/>
  </r>
  <r>
    <x v="16"/>
    <n v="36639"/>
    <x v="5"/>
    <s v="Male"/>
    <x v="2"/>
  </r>
  <r>
    <x v="16"/>
    <n v="37676"/>
    <x v="5"/>
    <s v="Female"/>
    <x v="2"/>
  </r>
  <r>
    <x v="16"/>
    <n v="33567"/>
    <x v="6"/>
    <s v="Male"/>
    <x v="2"/>
  </r>
  <r>
    <x v="16"/>
    <n v="36474"/>
    <x v="6"/>
    <s v="Female"/>
    <x v="2"/>
  </r>
  <r>
    <x v="16"/>
    <n v="26704"/>
    <x v="7"/>
    <s v="Male"/>
    <x v="2"/>
  </r>
  <r>
    <x v="16"/>
    <n v="30697"/>
    <x v="7"/>
    <s v="Female"/>
    <x v="2"/>
  </r>
  <r>
    <x v="16"/>
    <n v="25462"/>
    <x v="8"/>
    <s v="Male"/>
    <x v="2"/>
  </r>
  <r>
    <x v="16"/>
    <n v="30007"/>
    <x v="8"/>
    <s v="Female"/>
    <x v="2"/>
  </r>
  <r>
    <x v="16"/>
    <n v="22775"/>
    <x v="9"/>
    <s v="Male"/>
    <x v="2"/>
  </r>
  <r>
    <x v="16"/>
    <n v="28749"/>
    <x v="9"/>
    <s v="Female"/>
    <x v="2"/>
  </r>
  <r>
    <x v="16"/>
    <n v="19167"/>
    <x v="10"/>
    <s v="Male"/>
    <x v="2"/>
  </r>
  <r>
    <x v="16"/>
    <n v="24787"/>
    <x v="10"/>
    <s v="Female"/>
    <x v="2"/>
  </r>
  <r>
    <x v="16"/>
    <n v="15706"/>
    <x v="11"/>
    <s v="Male"/>
    <x v="2"/>
  </r>
  <r>
    <x v="16"/>
    <n v="20451"/>
    <x v="11"/>
    <s v="Female"/>
    <x v="2"/>
  </r>
  <r>
    <x v="16"/>
    <n v="12484"/>
    <x v="12"/>
    <s v="Male"/>
    <x v="2"/>
  </r>
  <r>
    <x v="16"/>
    <n v="17273"/>
    <x v="12"/>
    <s v="Femal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Enrollment Count" cacheId="31" applyNumberFormats="0" applyBorderFormats="0" applyFontFormats="0" applyPatternFormats="0" applyAlignmentFormats="0" applyWidthHeightFormats="0" dataCaption="" updatedVersion="8" compact="0" compactData="0">
  <location ref="J4:K22" firstHeaderRow="1" firstDataRow="1" firstDataCol="1" rowPageCount="2" colPageCount="1"/>
  <pivotFields count="5">
    <pivotField name="Region" axis="axisRow" compact="0" outline="0" multipleItemSelectionAllowed="1" showAll="0" sortType="ascending">
      <items count="18">
        <item x="16"/>
        <item x="1"/>
        <item x="2"/>
        <item x="3"/>
        <item x="4"/>
        <item x="5"/>
        <item x="11"/>
        <item x="6"/>
        <item x="0"/>
        <item x="7"/>
        <item x="8"/>
        <item x="9"/>
        <item x="10"/>
        <item x="12"/>
        <item x="13"/>
        <item x="14"/>
        <item x="15"/>
        <item t="default"/>
      </items>
    </pivotField>
    <pivotField name="Enrollees Number" dataField="1" compact="0" outline="0" multipleItemSelectionAllowed="1" showAll="0"/>
    <pivotField name="Level" axis="axisPage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Gender" compact="0" outline="0" multipleItemSelectionAllowed="1" showAll="0"/>
    <pivotField name="Year" axis="axisPage" compact="0" outline="0" multipleItemSelectionAllowed="1" showAll="0">
      <items count="4">
        <item h="1" x="0"/>
        <item h="1" x="1"/>
        <item x="2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2">
    <pageField fld="4" hier="0"/>
    <pageField fld="2" hier="-1"/>
  </pageFields>
  <dataFields count="1">
    <dataField name="SUM of Enrollees Number" fld="1" baseField="0"/>
  </dataFields>
  <formats count="4">
    <format dxfId="3">
      <pivotArea outline="0" fieldPosition="0">
        <references count="1">
          <reference field="0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0" count="1">
            <x v="0"/>
          </reference>
        </references>
      </pivotArea>
    </format>
    <format dxfId="1">
      <pivotArea outline="0" fieldPosition="0">
        <references count="1">
          <reference field="0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0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4Ps Children Count" cacheId="25" applyNumberFormats="0" applyBorderFormats="0" applyFontFormats="0" applyPatternFormats="0" applyAlignmentFormats="0" applyWidthHeightFormats="0" dataCaption="" updatedVersion="8" compact="0" compactData="0">
  <location ref="J5:O24" firstHeaderRow="1" firstDataRow="2" firstDataCol="1" rowPageCount="2" colPageCount="1"/>
  <pivotFields count="6">
    <pivotField name="Region" axis="axisRow" compact="0" outline="0" multipleItemSelectionAllowed="1" showAll="0" sortType="ascending">
      <items count="18">
        <item x="16"/>
        <item x="1"/>
        <item x="2"/>
        <item x="3"/>
        <item x="4"/>
        <item x="5"/>
        <item x="11"/>
        <item x="6"/>
        <item x="0"/>
        <item x="7"/>
        <item x="8"/>
        <item x="9"/>
        <item x="10"/>
        <item x="12"/>
        <item x="13"/>
        <item x="14"/>
        <item x="15"/>
        <item t="default"/>
      </items>
    </pivotField>
    <pivotField name="Age" axis="axisPage" compact="0" numFmtId="49" outline="0" multipleItemSelectionAllowed="1" showAll="0">
      <items count="5">
        <item x="0"/>
        <item x="1"/>
        <item x="2"/>
        <item x="3"/>
        <item t="default"/>
      </items>
    </pivotField>
    <pivotField name="Total" dataField="1" compact="0" outline="0" multipleItemSelectionAllowed="1" showAll="0"/>
    <pivotField name="Island" compact="0" outline="0" multipleItemSelectionAllowed="1" showAll="0"/>
    <pivotField name="Quarter" axis="axisCol" compact="0" outline="0" showAll="0">
      <items count="5">
        <item x="0"/>
        <item x="1"/>
        <item x="2"/>
        <item x="3"/>
        <item t="default"/>
      </items>
    </pivotField>
    <pivotField name="Year" axis="axisPage" compact="0" outline="0" multipleItemSelectionAllowed="1" showAll="0">
      <items count="2">
        <item x="0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5" hier="0"/>
    <pageField fld="1" hier="0"/>
  </pageFields>
  <dataFields count="1">
    <dataField name="SUM of Total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F16E0-99F4-474E-B155-55863D0F09BC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22" firstHeaderRow="1" firstDataRow="1" firstDataCol="1" rowPageCount="2" colPageCount="1"/>
  <pivotFields count="5">
    <pivotField axis="axisRow" showAll="0" sortType="descending">
      <items count="18">
        <item x="16"/>
        <item x="1"/>
        <item x="2"/>
        <item x="3"/>
        <item x="4"/>
        <item x="5"/>
        <item x="6"/>
        <item x="11"/>
        <item x="0"/>
        <item x="7"/>
        <item x="8"/>
        <item x="9"/>
        <item x="10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18">
    <i>
      <x v="5"/>
    </i>
    <i>
      <x v="4"/>
    </i>
    <i>
      <x v="10"/>
    </i>
    <i>
      <x v="11"/>
    </i>
    <i>
      <x v="9"/>
    </i>
    <i>
      <x v="12"/>
    </i>
    <i>
      <x v="8"/>
    </i>
    <i>
      <x v="2"/>
    </i>
    <i>
      <x v="13"/>
    </i>
    <i>
      <x v="3"/>
    </i>
    <i>
      <x v="14"/>
    </i>
    <i>
      <x v="15"/>
    </i>
    <i>
      <x v="7"/>
    </i>
    <i>
      <x v="6"/>
    </i>
    <i>
      <x/>
    </i>
    <i>
      <x v="16"/>
    </i>
    <i>
      <x v="1"/>
    </i>
    <i t="grand">
      <x/>
    </i>
  </rowItems>
  <colItems count="1">
    <i/>
  </colItems>
  <pageFields count="2">
    <pageField fld="3" hier="-1"/>
    <pageField fld="2" hier="-1"/>
  </pageFields>
  <dataFields count="1">
    <dataField name="Sum of # of School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327"/>
  <sheetViews>
    <sheetView workbookViewId="0">
      <selection activeCell="I32" sqref="I32"/>
    </sheetView>
  </sheetViews>
  <sheetFormatPr baseColWidth="10" defaultColWidth="12.6640625" defaultRowHeight="15.75" customHeight="1" x14ac:dyDescent="0.15"/>
  <cols>
    <col min="2" max="2" width="15.1640625" customWidth="1"/>
    <col min="11" max="11" width="21.1640625" bestFit="1" customWidth="1"/>
  </cols>
  <sheetData>
    <row r="1" spans="1:11" ht="15.75" customHeight="1" x14ac:dyDescent="0.15">
      <c r="A1" s="6" t="s">
        <v>0</v>
      </c>
      <c r="B1" s="6" t="s">
        <v>39</v>
      </c>
      <c r="C1" s="6" t="s">
        <v>40</v>
      </c>
      <c r="D1" s="6" t="s">
        <v>36</v>
      </c>
      <c r="E1" s="6" t="s">
        <v>5</v>
      </c>
      <c r="J1" s="13" t="s">
        <v>5</v>
      </c>
      <c r="K1" s="12" t="s">
        <v>57</v>
      </c>
    </row>
    <row r="2" spans="1:11" ht="15.75" customHeight="1" x14ac:dyDescent="0.15">
      <c r="A2" s="2" t="s">
        <v>7</v>
      </c>
      <c r="B2" s="2">
        <v>123928</v>
      </c>
      <c r="C2" s="2" t="s">
        <v>42</v>
      </c>
      <c r="D2" s="2" t="s">
        <v>37</v>
      </c>
      <c r="E2" s="2" t="s">
        <v>43</v>
      </c>
      <c r="J2" s="13" t="s">
        <v>40</v>
      </c>
      <c r="K2" s="12" t="s">
        <v>69</v>
      </c>
    </row>
    <row r="3" spans="1:11" ht="15.75" customHeight="1" x14ac:dyDescent="0.15">
      <c r="A3" s="2" t="s">
        <v>7</v>
      </c>
      <c r="B3" s="2">
        <v>116197</v>
      </c>
      <c r="C3" s="2" t="s">
        <v>42</v>
      </c>
      <c r="D3" s="2" t="s">
        <v>38</v>
      </c>
      <c r="E3" s="2" t="s">
        <v>43</v>
      </c>
    </row>
    <row r="4" spans="1:11" ht="15.75" customHeight="1" x14ac:dyDescent="0.15">
      <c r="A4" s="2" t="s">
        <v>7</v>
      </c>
      <c r="B4" s="2">
        <v>123584</v>
      </c>
      <c r="C4" s="2" t="s">
        <v>44</v>
      </c>
      <c r="D4" s="2" t="s">
        <v>37</v>
      </c>
      <c r="E4" s="2" t="s">
        <v>43</v>
      </c>
      <c r="J4" s="7" t="s">
        <v>0</v>
      </c>
      <c r="K4" s="8" t="s">
        <v>41</v>
      </c>
    </row>
    <row r="5" spans="1:11" ht="15.75" customHeight="1" x14ac:dyDescent="0.15">
      <c r="A5" s="2" t="s">
        <v>7</v>
      </c>
      <c r="B5" s="2">
        <v>114119</v>
      </c>
      <c r="C5" s="2" t="s">
        <v>44</v>
      </c>
      <c r="D5" s="2" t="s">
        <v>38</v>
      </c>
      <c r="E5" s="2" t="s">
        <v>43</v>
      </c>
      <c r="J5" s="18" t="s">
        <v>11</v>
      </c>
      <c r="K5" s="81">
        <v>870095</v>
      </c>
    </row>
    <row r="6" spans="1:11" ht="15.75" customHeight="1" x14ac:dyDescent="0.15">
      <c r="A6" s="2" t="s">
        <v>7</v>
      </c>
      <c r="B6" s="2">
        <v>107592</v>
      </c>
      <c r="C6" s="2" t="s">
        <v>45</v>
      </c>
      <c r="D6" s="2" t="s">
        <v>37</v>
      </c>
      <c r="E6" s="2" t="s">
        <v>43</v>
      </c>
      <c r="J6" s="19" t="s">
        <v>13</v>
      </c>
      <c r="K6" s="82">
        <v>780001</v>
      </c>
    </row>
    <row r="7" spans="1:11" ht="15.75" customHeight="1" x14ac:dyDescent="0.15">
      <c r="A7" s="2" t="s">
        <v>7</v>
      </c>
      <c r="B7" s="2">
        <v>99837</v>
      </c>
      <c r="C7" s="2" t="s">
        <v>45</v>
      </c>
      <c r="D7" s="2" t="s">
        <v>38</v>
      </c>
      <c r="E7" s="2" t="s">
        <v>43</v>
      </c>
      <c r="J7" s="10" t="s">
        <v>15</v>
      </c>
      <c r="K7" s="77">
        <v>1284454</v>
      </c>
    </row>
    <row r="8" spans="1:11" ht="15.75" customHeight="1" x14ac:dyDescent="0.15">
      <c r="A8" s="2" t="s">
        <v>7</v>
      </c>
      <c r="B8" s="2">
        <v>113133</v>
      </c>
      <c r="C8" s="2" t="s">
        <v>46</v>
      </c>
      <c r="D8" s="2" t="s">
        <v>37</v>
      </c>
      <c r="E8" s="2" t="s">
        <v>43</v>
      </c>
      <c r="J8" s="10" t="s">
        <v>17</v>
      </c>
      <c r="K8" s="77">
        <v>913322</v>
      </c>
    </row>
    <row r="9" spans="1:11" ht="15.75" customHeight="1" x14ac:dyDescent="0.15">
      <c r="A9" s="2" t="s">
        <v>7</v>
      </c>
      <c r="B9" s="2">
        <v>106867</v>
      </c>
      <c r="C9" s="2" t="s">
        <v>46</v>
      </c>
      <c r="D9" s="2" t="s">
        <v>38</v>
      </c>
      <c r="E9" s="2" t="s">
        <v>43</v>
      </c>
      <c r="J9" s="10" t="s">
        <v>18</v>
      </c>
      <c r="K9" s="77">
        <v>2826829</v>
      </c>
    </row>
    <row r="10" spans="1:11" ht="15.75" customHeight="1" x14ac:dyDescent="0.15">
      <c r="A10" s="2" t="s">
        <v>7</v>
      </c>
      <c r="B10" s="2">
        <v>118956</v>
      </c>
      <c r="C10" s="2" t="s">
        <v>47</v>
      </c>
      <c r="D10" s="2" t="s">
        <v>37</v>
      </c>
      <c r="E10" s="2" t="s">
        <v>43</v>
      </c>
      <c r="J10" s="10" t="s">
        <v>19</v>
      </c>
      <c r="K10" s="77">
        <v>3652990</v>
      </c>
    </row>
    <row r="11" spans="1:11" ht="15.75" customHeight="1" x14ac:dyDescent="0.15">
      <c r="A11" s="2" t="s">
        <v>7</v>
      </c>
      <c r="B11" s="2">
        <v>113310</v>
      </c>
      <c r="C11" s="2" t="s">
        <v>47</v>
      </c>
      <c r="D11" s="2" t="s">
        <v>38</v>
      </c>
      <c r="E11" s="2" t="s">
        <v>43</v>
      </c>
      <c r="J11" s="10" t="s">
        <v>20</v>
      </c>
      <c r="K11" s="77">
        <v>1027901</v>
      </c>
    </row>
    <row r="12" spans="1:11" ht="15.75" customHeight="1" x14ac:dyDescent="0.15">
      <c r="A12" s="2" t="s">
        <v>7</v>
      </c>
      <c r="B12" s="2">
        <v>123691</v>
      </c>
      <c r="C12" s="2" t="s">
        <v>48</v>
      </c>
      <c r="D12" s="2" t="s">
        <v>37</v>
      </c>
      <c r="E12" s="2" t="s">
        <v>43</v>
      </c>
      <c r="J12" s="10" t="s">
        <v>21</v>
      </c>
      <c r="K12" s="77">
        <v>882763</v>
      </c>
    </row>
    <row r="13" spans="1:11" ht="15.75" customHeight="1" x14ac:dyDescent="0.15">
      <c r="A13" s="2" t="s">
        <v>7</v>
      </c>
      <c r="B13" s="2">
        <v>117814</v>
      </c>
      <c r="C13" s="2" t="s">
        <v>48</v>
      </c>
      <c r="D13" s="2" t="s">
        <v>38</v>
      </c>
      <c r="E13" s="2" t="s">
        <v>43</v>
      </c>
      <c r="J13" s="10" t="s">
        <v>7</v>
      </c>
      <c r="K13" s="77">
        <v>2660593</v>
      </c>
    </row>
    <row r="14" spans="1:11" ht="15.75" customHeight="1" x14ac:dyDescent="0.15">
      <c r="A14" s="2" t="s">
        <v>7</v>
      </c>
      <c r="B14" s="2">
        <v>122640</v>
      </c>
      <c r="C14" s="2" t="s">
        <v>49</v>
      </c>
      <c r="D14" s="2" t="s">
        <v>37</v>
      </c>
      <c r="E14" s="2" t="s">
        <v>43</v>
      </c>
      <c r="J14" s="10" t="s">
        <v>22</v>
      </c>
      <c r="K14" s="77">
        <v>1665253</v>
      </c>
    </row>
    <row r="15" spans="1:11" ht="15.75" customHeight="1" x14ac:dyDescent="0.15">
      <c r="A15" s="2" t="s">
        <v>7</v>
      </c>
      <c r="B15" s="2">
        <v>116645</v>
      </c>
      <c r="C15" s="2" t="s">
        <v>49</v>
      </c>
      <c r="D15" s="2" t="s">
        <v>38</v>
      </c>
      <c r="E15" s="2" t="s">
        <v>43</v>
      </c>
      <c r="J15" s="10" t="s">
        <v>23</v>
      </c>
      <c r="K15" s="77">
        <v>2043920</v>
      </c>
    </row>
    <row r="16" spans="1:11" ht="15.75" customHeight="1" x14ac:dyDescent="0.15">
      <c r="A16" s="2" t="s">
        <v>7</v>
      </c>
      <c r="B16" s="2">
        <v>130043</v>
      </c>
      <c r="C16" s="2" t="s">
        <v>50</v>
      </c>
      <c r="D16" s="2" t="s">
        <v>37</v>
      </c>
      <c r="E16" s="2" t="s">
        <v>43</v>
      </c>
      <c r="J16" s="10" t="s">
        <v>24</v>
      </c>
      <c r="K16" s="77">
        <v>2007141</v>
      </c>
    </row>
    <row r="17" spans="1:11" ht="15.75" customHeight="1" x14ac:dyDescent="0.15">
      <c r="A17" s="2" t="s">
        <v>7</v>
      </c>
      <c r="B17" s="2">
        <v>121823</v>
      </c>
      <c r="C17" s="2" t="s">
        <v>50</v>
      </c>
      <c r="D17" s="2" t="s">
        <v>38</v>
      </c>
      <c r="E17" s="2" t="s">
        <v>43</v>
      </c>
      <c r="J17" s="10" t="s">
        <v>25</v>
      </c>
      <c r="K17" s="77">
        <v>1265851</v>
      </c>
    </row>
    <row r="18" spans="1:11" ht="15.75" customHeight="1" x14ac:dyDescent="0.15">
      <c r="A18" s="2" t="s">
        <v>7</v>
      </c>
      <c r="B18" s="2">
        <v>117730</v>
      </c>
      <c r="C18" s="2" t="s">
        <v>51</v>
      </c>
      <c r="D18" s="2" t="s">
        <v>37</v>
      </c>
      <c r="E18" s="2" t="s">
        <v>43</v>
      </c>
      <c r="J18" s="10" t="s">
        <v>26</v>
      </c>
      <c r="K18" s="77">
        <v>1290234</v>
      </c>
    </row>
    <row r="19" spans="1:11" ht="15.75" customHeight="1" x14ac:dyDescent="0.15">
      <c r="A19" s="2" t="s">
        <v>7</v>
      </c>
      <c r="B19" s="2">
        <v>116487</v>
      </c>
      <c r="C19" s="2" t="s">
        <v>51</v>
      </c>
      <c r="D19" s="2" t="s">
        <v>38</v>
      </c>
      <c r="E19" s="2" t="s">
        <v>43</v>
      </c>
      <c r="J19" s="10" t="s">
        <v>27</v>
      </c>
      <c r="K19" s="77">
        <v>1286075</v>
      </c>
    </row>
    <row r="20" spans="1:11" ht="15.75" customHeight="1" x14ac:dyDescent="0.15">
      <c r="A20" s="2" t="s">
        <v>7</v>
      </c>
      <c r="B20" s="2">
        <v>107489</v>
      </c>
      <c r="C20" s="2" t="s">
        <v>52</v>
      </c>
      <c r="D20" s="2" t="s">
        <v>37</v>
      </c>
      <c r="E20" s="2" t="s">
        <v>43</v>
      </c>
      <c r="J20" s="10" t="s">
        <v>28</v>
      </c>
      <c r="K20" s="77">
        <v>1256650</v>
      </c>
    </row>
    <row r="21" spans="1:11" ht="15.75" customHeight="1" x14ac:dyDescent="0.15">
      <c r="A21" s="2" t="s">
        <v>7</v>
      </c>
      <c r="B21" s="2">
        <v>109352</v>
      </c>
      <c r="C21" s="2" t="s">
        <v>52</v>
      </c>
      <c r="D21" s="2" t="s">
        <v>38</v>
      </c>
      <c r="E21" s="2" t="s">
        <v>43</v>
      </c>
      <c r="J21" s="10" t="s">
        <v>29</v>
      </c>
      <c r="K21" s="77">
        <v>780001</v>
      </c>
    </row>
    <row r="22" spans="1:11" ht="15.75" customHeight="1" x14ac:dyDescent="0.15">
      <c r="A22" s="2" t="s">
        <v>7</v>
      </c>
      <c r="B22" s="2">
        <v>100015</v>
      </c>
      <c r="C22" s="2" t="s">
        <v>53</v>
      </c>
      <c r="D22" s="2" t="s">
        <v>37</v>
      </c>
      <c r="E22" s="2" t="s">
        <v>43</v>
      </c>
      <c r="J22" s="11" t="s">
        <v>30</v>
      </c>
      <c r="K22" s="80">
        <v>26494073</v>
      </c>
    </row>
    <row r="23" spans="1:11" ht="15.75" customHeight="1" x14ac:dyDescent="0.15">
      <c r="A23" s="2" t="s">
        <v>7</v>
      </c>
      <c r="B23" s="2">
        <v>106000</v>
      </c>
      <c r="C23" s="2" t="s">
        <v>53</v>
      </c>
      <c r="D23" s="2" t="s">
        <v>38</v>
      </c>
      <c r="E23" s="2" t="s">
        <v>43</v>
      </c>
    </row>
    <row r="24" spans="1:11" ht="15.75" customHeight="1" x14ac:dyDescent="0.15">
      <c r="A24" s="2" t="s">
        <v>7</v>
      </c>
      <c r="B24" s="2">
        <v>105623</v>
      </c>
      <c r="C24" s="2" t="s">
        <v>54</v>
      </c>
      <c r="D24" s="2" t="s">
        <v>37</v>
      </c>
      <c r="E24" s="2" t="s">
        <v>43</v>
      </c>
    </row>
    <row r="25" spans="1:11" ht="15.75" customHeight="1" x14ac:dyDescent="0.15">
      <c r="A25" s="2" t="s">
        <v>7</v>
      </c>
      <c r="B25" s="2">
        <v>113961</v>
      </c>
      <c r="C25" s="2" t="s">
        <v>54</v>
      </c>
      <c r="D25" s="2" t="s">
        <v>38</v>
      </c>
      <c r="E25" s="2" t="s">
        <v>43</v>
      </c>
    </row>
    <row r="26" spans="1:11" ht="15.75" customHeight="1" x14ac:dyDescent="0.15">
      <c r="A26" s="2" t="s">
        <v>7</v>
      </c>
      <c r="B26" s="2">
        <v>87870</v>
      </c>
      <c r="C26" s="2" t="s">
        <v>55</v>
      </c>
      <c r="D26" s="2" t="s">
        <v>37</v>
      </c>
      <c r="E26" s="2" t="s">
        <v>43</v>
      </c>
    </row>
    <row r="27" spans="1:11" ht="15.75" customHeight="1" x14ac:dyDescent="0.15">
      <c r="A27" s="2" t="s">
        <v>7</v>
      </c>
      <c r="B27" s="2">
        <v>99445</v>
      </c>
      <c r="C27" s="2" t="s">
        <v>55</v>
      </c>
      <c r="D27" s="2" t="s">
        <v>38</v>
      </c>
      <c r="E27" s="2" t="s">
        <v>43</v>
      </c>
    </row>
    <row r="28" spans="1:11" ht="15.75" customHeight="1" x14ac:dyDescent="0.15">
      <c r="A28" s="2" t="s">
        <v>7</v>
      </c>
      <c r="B28" s="2">
        <v>110830</v>
      </c>
      <c r="C28" s="2" t="s">
        <v>42</v>
      </c>
      <c r="D28" s="2" t="s">
        <v>37</v>
      </c>
      <c r="E28" s="2" t="s">
        <v>56</v>
      </c>
    </row>
    <row r="29" spans="1:11" ht="15.75" customHeight="1" x14ac:dyDescent="0.15">
      <c r="A29" s="2" t="s">
        <v>7</v>
      </c>
      <c r="B29" s="2">
        <v>101839</v>
      </c>
      <c r="C29" s="2" t="s">
        <v>42</v>
      </c>
      <c r="D29" s="2" t="s">
        <v>38</v>
      </c>
      <c r="E29" s="2" t="s">
        <v>56</v>
      </c>
    </row>
    <row r="30" spans="1:11" ht="15.75" customHeight="1" x14ac:dyDescent="0.15">
      <c r="A30" s="2" t="s">
        <v>7</v>
      </c>
      <c r="B30" s="2">
        <v>125615</v>
      </c>
      <c r="C30" s="2" t="s">
        <v>44</v>
      </c>
      <c r="D30" s="2" t="s">
        <v>37</v>
      </c>
      <c r="E30" s="2" t="s">
        <v>56</v>
      </c>
    </row>
    <row r="31" spans="1:11" ht="15.75" customHeight="1" x14ac:dyDescent="0.15">
      <c r="A31" s="2" t="s">
        <v>7</v>
      </c>
      <c r="B31" s="2">
        <v>117215</v>
      </c>
      <c r="C31" s="2" t="s">
        <v>44</v>
      </c>
      <c r="D31" s="2" t="s">
        <v>38</v>
      </c>
      <c r="E31" s="2" t="s">
        <v>56</v>
      </c>
    </row>
    <row r="32" spans="1:11" ht="15.75" customHeight="1" x14ac:dyDescent="0.15">
      <c r="A32" s="2" t="s">
        <v>7</v>
      </c>
      <c r="B32" s="2">
        <v>121687</v>
      </c>
      <c r="C32" s="2" t="s">
        <v>45</v>
      </c>
      <c r="D32" s="2" t="s">
        <v>37</v>
      </c>
      <c r="E32" s="2" t="s">
        <v>56</v>
      </c>
    </row>
    <row r="33" spans="1:5" ht="15.75" customHeight="1" x14ac:dyDescent="0.15">
      <c r="A33" s="2" t="s">
        <v>7</v>
      </c>
      <c r="B33" s="2">
        <v>112850</v>
      </c>
      <c r="C33" s="2" t="s">
        <v>45</v>
      </c>
      <c r="D33" s="2" t="s">
        <v>38</v>
      </c>
      <c r="E33" s="2" t="s">
        <v>56</v>
      </c>
    </row>
    <row r="34" spans="1:5" ht="15.75" customHeight="1" x14ac:dyDescent="0.15">
      <c r="A34" s="2" t="s">
        <v>7</v>
      </c>
      <c r="B34" s="2">
        <v>106555</v>
      </c>
      <c r="C34" s="2" t="s">
        <v>46</v>
      </c>
      <c r="D34" s="2" t="s">
        <v>37</v>
      </c>
      <c r="E34" s="2" t="s">
        <v>56</v>
      </c>
    </row>
    <row r="35" spans="1:5" ht="15.75" customHeight="1" x14ac:dyDescent="0.15">
      <c r="A35" s="2" t="s">
        <v>7</v>
      </c>
      <c r="B35" s="2">
        <v>98933</v>
      </c>
      <c r="C35" s="2" t="s">
        <v>46</v>
      </c>
      <c r="D35" s="2" t="s">
        <v>38</v>
      </c>
      <c r="E35" s="2" t="s">
        <v>56</v>
      </c>
    </row>
    <row r="36" spans="1:5" ht="15.75" customHeight="1" x14ac:dyDescent="0.15">
      <c r="A36" s="2" t="s">
        <v>7</v>
      </c>
      <c r="B36" s="2">
        <v>111329</v>
      </c>
      <c r="C36" s="2" t="s">
        <v>47</v>
      </c>
      <c r="D36" s="2" t="s">
        <v>37</v>
      </c>
      <c r="E36" s="2" t="s">
        <v>56</v>
      </c>
    </row>
    <row r="37" spans="1:5" ht="15.75" customHeight="1" x14ac:dyDescent="0.15">
      <c r="A37" s="2" t="s">
        <v>7</v>
      </c>
      <c r="B37" s="2">
        <v>105449</v>
      </c>
      <c r="C37" s="2" t="s">
        <v>47</v>
      </c>
      <c r="D37" s="2" t="s">
        <v>38</v>
      </c>
      <c r="E37" s="2" t="s">
        <v>56</v>
      </c>
    </row>
    <row r="38" spans="1:5" ht="15.75" customHeight="1" x14ac:dyDescent="0.15">
      <c r="A38" s="2" t="s">
        <v>7</v>
      </c>
      <c r="B38" s="2">
        <v>116774</v>
      </c>
      <c r="C38" s="2" t="s">
        <v>48</v>
      </c>
      <c r="D38" s="2" t="s">
        <v>37</v>
      </c>
      <c r="E38" s="2" t="s">
        <v>56</v>
      </c>
    </row>
    <row r="39" spans="1:5" ht="15.75" customHeight="1" x14ac:dyDescent="0.15">
      <c r="A39" s="2" t="s">
        <v>7</v>
      </c>
      <c r="B39" s="2">
        <v>111928</v>
      </c>
      <c r="C39" s="2" t="s">
        <v>48</v>
      </c>
      <c r="D39" s="2" t="s">
        <v>38</v>
      </c>
      <c r="E39" s="2" t="s">
        <v>56</v>
      </c>
    </row>
    <row r="40" spans="1:5" ht="15.75" customHeight="1" x14ac:dyDescent="0.15">
      <c r="A40" s="2" t="s">
        <v>7</v>
      </c>
      <c r="B40" s="2">
        <v>121352</v>
      </c>
      <c r="C40" s="2" t="s">
        <v>49</v>
      </c>
      <c r="D40" s="2" t="s">
        <v>37</v>
      </c>
      <c r="E40" s="2" t="s">
        <v>56</v>
      </c>
    </row>
    <row r="41" spans="1:5" ht="15.75" customHeight="1" x14ac:dyDescent="0.15">
      <c r="A41" s="2" t="s">
        <v>7</v>
      </c>
      <c r="B41" s="2">
        <v>116672</v>
      </c>
      <c r="C41" s="2" t="s">
        <v>49</v>
      </c>
      <c r="D41" s="2" t="s">
        <v>38</v>
      </c>
      <c r="E41" s="2" t="s">
        <v>56</v>
      </c>
    </row>
    <row r="42" spans="1:5" ht="15.75" customHeight="1" x14ac:dyDescent="0.15">
      <c r="A42" s="2" t="s">
        <v>7</v>
      </c>
      <c r="B42" s="2">
        <v>126637</v>
      </c>
      <c r="C42" s="2" t="s">
        <v>50</v>
      </c>
      <c r="D42" s="2" t="s">
        <v>37</v>
      </c>
      <c r="E42" s="2" t="s">
        <v>56</v>
      </c>
    </row>
    <row r="43" spans="1:5" ht="15.75" customHeight="1" x14ac:dyDescent="0.15">
      <c r="A43" s="2" t="s">
        <v>7</v>
      </c>
      <c r="B43" s="2">
        <v>118602</v>
      </c>
      <c r="C43" s="2" t="s">
        <v>50</v>
      </c>
      <c r="D43" s="2" t="s">
        <v>38</v>
      </c>
      <c r="E43" s="2" t="s">
        <v>56</v>
      </c>
    </row>
    <row r="44" spans="1:5" ht="15.75" customHeight="1" x14ac:dyDescent="0.15">
      <c r="A44" s="2" t="s">
        <v>7</v>
      </c>
      <c r="B44" s="2">
        <v>120866</v>
      </c>
      <c r="C44" s="2" t="s">
        <v>51</v>
      </c>
      <c r="D44" s="2" t="s">
        <v>37</v>
      </c>
      <c r="E44" s="2" t="s">
        <v>56</v>
      </c>
    </row>
    <row r="45" spans="1:5" ht="15.75" customHeight="1" x14ac:dyDescent="0.15">
      <c r="A45" s="2" t="s">
        <v>7</v>
      </c>
      <c r="B45" s="2">
        <v>117513</v>
      </c>
      <c r="C45" s="2" t="s">
        <v>51</v>
      </c>
      <c r="D45" s="2" t="s">
        <v>38</v>
      </c>
      <c r="E45" s="2" t="s">
        <v>56</v>
      </c>
    </row>
    <row r="46" spans="1:5" ht="15.75" customHeight="1" x14ac:dyDescent="0.15">
      <c r="A46" s="2" t="s">
        <v>7</v>
      </c>
      <c r="B46" s="2">
        <v>111455</v>
      </c>
      <c r="C46" s="2" t="s">
        <v>52</v>
      </c>
      <c r="D46" s="2" t="s">
        <v>37</v>
      </c>
      <c r="E46" s="2" t="s">
        <v>56</v>
      </c>
    </row>
    <row r="47" spans="1:5" ht="15.75" customHeight="1" x14ac:dyDescent="0.15">
      <c r="A47" s="2" t="s">
        <v>7</v>
      </c>
      <c r="B47" s="2">
        <v>113381</v>
      </c>
      <c r="C47" s="2" t="s">
        <v>52</v>
      </c>
      <c r="D47" s="2" t="s">
        <v>38</v>
      </c>
      <c r="E47" s="2" t="s">
        <v>56</v>
      </c>
    </row>
    <row r="48" spans="1:5" ht="15.75" customHeight="1" x14ac:dyDescent="0.15">
      <c r="A48" s="2" t="s">
        <v>7</v>
      </c>
      <c r="B48" s="2">
        <v>100992</v>
      </c>
      <c r="C48" s="2" t="s">
        <v>53</v>
      </c>
      <c r="D48" s="2" t="s">
        <v>37</v>
      </c>
      <c r="E48" s="2" t="s">
        <v>56</v>
      </c>
    </row>
    <row r="49" spans="1:5" ht="13" x14ac:dyDescent="0.15">
      <c r="A49" s="2" t="s">
        <v>7</v>
      </c>
      <c r="B49" s="2">
        <v>105673</v>
      </c>
      <c r="C49" s="2" t="s">
        <v>53</v>
      </c>
      <c r="D49" s="2" t="s">
        <v>38</v>
      </c>
      <c r="E49" s="2" t="s">
        <v>56</v>
      </c>
    </row>
    <row r="50" spans="1:5" ht="13" x14ac:dyDescent="0.15">
      <c r="A50" s="2" t="s">
        <v>7</v>
      </c>
      <c r="B50" s="2">
        <v>105319</v>
      </c>
      <c r="C50" s="2" t="s">
        <v>54</v>
      </c>
      <c r="D50" s="2" t="s">
        <v>37</v>
      </c>
      <c r="E50" s="2" t="s">
        <v>56</v>
      </c>
    </row>
    <row r="51" spans="1:5" ht="13" x14ac:dyDescent="0.15">
      <c r="A51" s="2" t="s">
        <v>7</v>
      </c>
      <c r="B51" s="2">
        <v>112880</v>
      </c>
      <c r="C51" s="2" t="s">
        <v>54</v>
      </c>
      <c r="D51" s="2" t="s">
        <v>38</v>
      </c>
      <c r="E51" s="2" t="s">
        <v>56</v>
      </c>
    </row>
    <row r="52" spans="1:5" ht="13" x14ac:dyDescent="0.15">
      <c r="A52" s="2" t="s">
        <v>7</v>
      </c>
      <c r="B52" s="2">
        <v>92326</v>
      </c>
      <c r="C52" s="2" t="s">
        <v>55</v>
      </c>
      <c r="D52" s="2" t="s">
        <v>37</v>
      </c>
      <c r="E52" s="2" t="s">
        <v>56</v>
      </c>
    </row>
    <row r="53" spans="1:5" ht="13" x14ac:dyDescent="0.15">
      <c r="A53" s="2" t="s">
        <v>7</v>
      </c>
      <c r="B53" s="2">
        <v>100746</v>
      </c>
      <c r="C53" s="2" t="s">
        <v>55</v>
      </c>
      <c r="D53" s="2" t="s">
        <v>38</v>
      </c>
      <c r="E53" s="2" t="s">
        <v>56</v>
      </c>
    </row>
    <row r="54" spans="1:5" ht="13" x14ac:dyDescent="0.15">
      <c r="A54" s="2" t="s">
        <v>7</v>
      </c>
      <c r="B54" s="2">
        <v>94017</v>
      </c>
      <c r="C54" s="2" t="s">
        <v>42</v>
      </c>
      <c r="D54" s="2" t="s">
        <v>37</v>
      </c>
      <c r="E54" s="2" t="s">
        <v>57</v>
      </c>
    </row>
    <row r="55" spans="1:5" ht="13" x14ac:dyDescent="0.15">
      <c r="A55" s="2" t="s">
        <v>7</v>
      </c>
      <c r="B55" s="2">
        <v>90093</v>
      </c>
      <c r="C55" s="2" t="s">
        <v>42</v>
      </c>
      <c r="D55" s="2" t="s">
        <v>38</v>
      </c>
      <c r="E55" s="2" t="s">
        <v>57</v>
      </c>
    </row>
    <row r="56" spans="1:5" ht="13" x14ac:dyDescent="0.15">
      <c r="A56" s="2" t="s">
        <v>7</v>
      </c>
      <c r="B56" s="2">
        <v>104007</v>
      </c>
      <c r="C56" s="2" t="s">
        <v>44</v>
      </c>
      <c r="D56" s="2" t="s">
        <v>37</v>
      </c>
      <c r="E56" s="2" t="s">
        <v>57</v>
      </c>
    </row>
    <row r="57" spans="1:5" ht="13" x14ac:dyDescent="0.15">
      <c r="A57" s="2" t="s">
        <v>7</v>
      </c>
      <c r="B57" s="2">
        <v>95460</v>
      </c>
      <c r="C57" s="2" t="s">
        <v>44</v>
      </c>
      <c r="D57" s="2" t="s">
        <v>38</v>
      </c>
      <c r="E57" s="2" t="s">
        <v>57</v>
      </c>
    </row>
    <row r="58" spans="1:5" ht="13" x14ac:dyDescent="0.15">
      <c r="A58" s="2" t="s">
        <v>7</v>
      </c>
      <c r="B58" s="2">
        <v>113914</v>
      </c>
      <c r="C58" s="2" t="s">
        <v>45</v>
      </c>
      <c r="D58" s="2" t="s">
        <v>37</v>
      </c>
      <c r="E58" s="2" t="s">
        <v>57</v>
      </c>
    </row>
    <row r="59" spans="1:5" ht="13" x14ac:dyDescent="0.15">
      <c r="A59" s="2" t="s">
        <v>7</v>
      </c>
      <c r="B59" s="2">
        <v>107609</v>
      </c>
      <c r="C59" s="2" t="s">
        <v>45</v>
      </c>
      <c r="D59" s="2" t="s">
        <v>38</v>
      </c>
      <c r="E59" s="2" t="s">
        <v>57</v>
      </c>
    </row>
    <row r="60" spans="1:5" ht="13" x14ac:dyDescent="0.15">
      <c r="A60" s="2" t="s">
        <v>7</v>
      </c>
      <c r="B60" s="2">
        <v>111706</v>
      </c>
      <c r="C60" s="2" t="s">
        <v>46</v>
      </c>
      <c r="D60" s="2" t="s">
        <v>37</v>
      </c>
      <c r="E60" s="2" t="s">
        <v>57</v>
      </c>
    </row>
    <row r="61" spans="1:5" ht="13" x14ac:dyDescent="0.15">
      <c r="A61" s="2" t="s">
        <v>7</v>
      </c>
      <c r="B61" s="2">
        <v>104923</v>
      </c>
      <c r="C61" s="2" t="s">
        <v>46</v>
      </c>
      <c r="D61" s="2" t="s">
        <v>38</v>
      </c>
      <c r="E61" s="2" t="s">
        <v>57</v>
      </c>
    </row>
    <row r="62" spans="1:5" ht="13" x14ac:dyDescent="0.15">
      <c r="A62" s="2" t="s">
        <v>7</v>
      </c>
      <c r="B62" s="2">
        <v>97940</v>
      </c>
      <c r="C62" s="2" t="s">
        <v>47</v>
      </c>
      <c r="D62" s="2" t="s">
        <v>37</v>
      </c>
      <c r="E62" s="2" t="s">
        <v>57</v>
      </c>
    </row>
    <row r="63" spans="1:5" ht="13" x14ac:dyDescent="0.15">
      <c r="A63" s="2" t="s">
        <v>7</v>
      </c>
      <c r="B63" s="2">
        <v>92108</v>
      </c>
      <c r="C63" s="2" t="s">
        <v>47</v>
      </c>
      <c r="D63" s="2" t="s">
        <v>38</v>
      </c>
      <c r="E63" s="2" t="s">
        <v>57</v>
      </c>
    </row>
    <row r="64" spans="1:5" ht="13" x14ac:dyDescent="0.15">
      <c r="A64" s="2" t="s">
        <v>7</v>
      </c>
      <c r="B64" s="2">
        <v>103886</v>
      </c>
      <c r="C64" s="2" t="s">
        <v>48</v>
      </c>
      <c r="D64" s="2" t="s">
        <v>37</v>
      </c>
      <c r="E64" s="2" t="s">
        <v>57</v>
      </c>
    </row>
    <row r="65" spans="1:5" ht="13" x14ac:dyDescent="0.15">
      <c r="A65" s="2" t="s">
        <v>7</v>
      </c>
      <c r="B65" s="2">
        <v>99772</v>
      </c>
      <c r="C65" s="2" t="s">
        <v>48</v>
      </c>
      <c r="D65" s="2" t="s">
        <v>38</v>
      </c>
      <c r="E65" s="2" t="s">
        <v>57</v>
      </c>
    </row>
    <row r="66" spans="1:5" ht="13" x14ac:dyDescent="0.15">
      <c r="A66" s="2" t="s">
        <v>7</v>
      </c>
      <c r="B66" s="2">
        <v>109476</v>
      </c>
      <c r="C66" s="2" t="s">
        <v>49</v>
      </c>
      <c r="D66" s="2" t="s">
        <v>37</v>
      </c>
      <c r="E66" s="2" t="s">
        <v>57</v>
      </c>
    </row>
    <row r="67" spans="1:5" ht="13" x14ac:dyDescent="0.15">
      <c r="A67" s="2" t="s">
        <v>7</v>
      </c>
      <c r="B67" s="2">
        <v>106315</v>
      </c>
      <c r="C67" s="2" t="s">
        <v>49</v>
      </c>
      <c r="D67" s="2" t="s">
        <v>38</v>
      </c>
      <c r="E67" s="2" t="s">
        <v>57</v>
      </c>
    </row>
    <row r="68" spans="1:5" ht="13" x14ac:dyDescent="0.15">
      <c r="A68" s="2" t="s">
        <v>7</v>
      </c>
      <c r="B68" s="2">
        <v>110367</v>
      </c>
      <c r="C68" s="2" t="s">
        <v>50</v>
      </c>
      <c r="D68" s="2" t="s">
        <v>37</v>
      </c>
      <c r="E68" s="2" t="s">
        <v>57</v>
      </c>
    </row>
    <row r="69" spans="1:5" ht="13" x14ac:dyDescent="0.15">
      <c r="A69" s="2" t="s">
        <v>7</v>
      </c>
      <c r="B69" s="2">
        <v>106745</v>
      </c>
      <c r="C69" s="2" t="s">
        <v>50</v>
      </c>
      <c r="D69" s="2" t="s">
        <v>38</v>
      </c>
      <c r="E69" s="2" t="s">
        <v>57</v>
      </c>
    </row>
    <row r="70" spans="1:5" ht="13" x14ac:dyDescent="0.15">
      <c r="A70" s="2" t="s">
        <v>7</v>
      </c>
      <c r="B70" s="2">
        <v>111201</v>
      </c>
      <c r="C70" s="2" t="s">
        <v>51</v>
      </c>
      <c r="D70" s="2" t="s">
        <v>37</v>
      </c>
      <c r="E70" s="2" t="s">
        <v>57</v>
      </c>
    </row>
    <row r="71" spans="1:5" ht="13" x14ac:dyDescent="0.15">
      <c r="A71" s="2" t="s">
        <v>7</v>
      </c>
      <c r="B71" s="2">
        <v>108774</v>
      </c>
      <c r="C71" s="2" t="s">
        <v>51</v>
      </c>
      <c r="D71" s="2" t="s">
        <v>38</v>
      </c>
      <c r="E71" s="2" t="s">
        <v>57</v>
      </c>
    </row>
    <row r="72" spans="1:5" ht="13" x14ac:dyDescent="0.15">
      <c r="A72" s="2" t="s">
        <v>7</v>
      </c>
      <c r="B72" s="2">
        <v>108042</v>
      </c>
      <c r="C72" s="2" t="s">
        <v>52</v>
      </c>
      <c r="D72" s="2" t="s">
        <v>37</v>
      </c>
      <c r="E72" s="2" t="s">
        <v>57</v>
      </c>
    </row>
    <row r="73" spans="1:5" ht="13" x14ac:dyDescent="0.15">
      <c r="A73" s="2" t="s">
        <v>7</v>
      </c>
      <c r="B73" s="2">
        <v>108881</v>
      </c>
      <c r="C73" s="2" t="s">
        <v>52</v>
      </c>
      <c r="D73" s="2" t="s">
        <v>38</v>
      </c>
      <c r="E73" s="2" t="s">
        <v>57</v>
      </c>
    </row>
    <row r="74" spans="1:5" ht="13" x14ac:dyDescent="0.15">
      <c r="A74" s="2" t="s">
        <v>7</v>
      </c>
      <c r="B74" s="2">
        <v>98932</v>
      </c>
      <c r="C74" s="2" t="s">
        <v>53</v>
      </c>
      <c r="D74" s="2" t="s">
        <v>37</v>
      </c>
      <c r="E74" s="2" t="s">
        <v>57</v>
      </c>
    </row>
    <row r="75" spans="1:5" ht="13" x14ac:dyDescent="0.15">
      <c r="A75" s="2" t="s">
        <v>7</v>
      </c>
      <c r="B75" s="2">
        <v>104663</v>
      </c>
      <c r="C75" s="2" t="s">
        <v>53</v>
      </c>
      <c r="D75" s="2" t="s">
        <v>38</v>
      </c>
      <c r="E75" s="2" t="s">
        <v>57</v>
      </c>
    </row>
    <row r="76" spans="1:5" ht="13" x14ac:dyDescent="0.15">
      <c r="A76" s="2" t="s">
        <v>7</v>
      </c>
      <c r="B76" s="2">
        <v>90550</v>
      </c>
      <c r="C76" s="2" t="s">
        <v>54</v>
      </c>
      <c r="D76" s="2" t="s">
        <v>37</v>
      </c>
      <c r="E76" s="2" t="s">
        <v>57</v>
      </c>
    </row>
    <row r="77" spans="1:5" ht="13" x14ac:dyDescent="0.15">
      <c r="A77" s="2" t="s">
        <v>7</v>
      </c>
      <c r="B77" s="2">
        <v>99433</v>
      </c>
      <c r="C77" s="2" t="s">
        <v>54</v>
      </c>
      <c r="D77" s="2" t="s">
        <v>38</v>
      </c>
      <c r="E77" s="2" t="s">
        <v>57</v>
      </c>
    </row>
    <row r="78" spans="1:5" ht="13" x14ac:dyDescent="0.15">
      <c r="A78" s="2" t="s">
        <v>7</v>
      </c>
      <c r="B78" s="2">
        <v>85897</v>
      </c>
      <c r="C78" s="2" t="s">
        <v>55</v>
      </c>
      <c r="D78" s="2" t="s">
        <v>37</v>
      </c>
      <c r="E78" s="2" t="s">
        <v>57</v>
      </c>
    </row>
    <row r="79" spans="1:5" ht="13" x14ac:dyDescent="0.15">
      <c r="A79" s="2" t="s">
        <v>7</v>
      </c>
      <c r="B79" s="2">
        <v>95882</v>
      </c>
      <c r="C79" s="2" t="s">
        <v>55</v>
      </c>
      <c r="D79" s="2" t="s">
        <v>38</v>
      </c>
      <c r="E79" s="2" t="s">
        <v>57</v>
      </c>
    </row>
    <row r="80" spans="1:5" ht="13" x14ac:dyDescent="0.15">
      <c r="A80" s="2" t="s">
        <v>13</v>
      </c>
      <c r="B80" s="2">
        <v>37156</v>
      </c>
      <c r="C80" s="2" t="s">
        <v>42</v>
      </c>
      <c r="D80" s="2" t="s">
        <v>37</v>
      </c>
      <c r="E80" s="2" t="s">
        <v>43</v>
      </c>
    </row>
    <row r="81" spans="1:5" ht="13" x14ac:dyDescent="0.15">
      <c r="A81" s="2" t="s">
        <v>13</v>
      </c>
      <c r="B81" s="2">
        <v>34644</v>
      </c>
      <c r="C81" s="2" t="s">
        <v>42</v>
      </c>
      <c r="D81" s="2" t="s">
        <v>38</v>
      </c>
      <c r="E81" s="2" t="s">
        <v>43</v>
      </c>
    </row>
    <row r="82" spans="1:5" ht="13" x14ac:dyDescent="0.15">
      <c r="A82" s="2" t="s">
        <v>13</v>
      </c>
      <c r="B82" s="2">
        <v>35268</v>
      </c>
      <c r="C82" s="2" t="s">
        <v>44</v>
      </c>
      <c r="D82" s="2" t="s">
        <v>37</v>
      </c>
      <c r="E82" s="2" t="s">
        <v>43</v>
      </c>
    </row>
    <row r="83" spans="1:5" ht="13" x14ac:dyDescent="0.15">
      <c r="A83" s="2" t="s">
        <v>13</v>
      </c>
      <c r="B83" s="2">
        <v>32132</v>
      </c>
      <c r="C83" s="2" t="s">
        <v>44</v>
      </c>
      <c r="D83" s="2" t="s">
        <v>38</v>
      </c>
      <c r="E83" s="2" t="s">
        <v>43</v>
      </c>
    </row>
    <row r="84" spans="1:5" ht="13" x14ac:dyDescent="0.15">
      <c r="A84" s="2" t="s">
        <v>13</v>
      </c>
      <c r="B84" s="2">
        <v>29943</v>
      </c>
      <c r="C84" s="2" t="s">
        <v>45</v>
      </c>
      <c r="D84" s="2" t="s">
        <v>37</v>
      </c>
      <c r="E84" s="2" t="s">
        <v>43</v>
      </c>
    </row>
    <row r="85" spans="1:5" ht="13" x14ac:dyDescent="0.15">
      <c r="A85" s="2" t="s">
        <v>13</v>
      </c>
      <c r="B85" s="2">
        <v>26993</v>
      </c>
      <c r="C85" s="2" t="s">
        <v>45</v>
      </c>
      <c r="D85" s="2" t="s">
        <v>38</v>
      </c>
      <c r="E85" s="2" t="s">
        <v>43</v>
      </c>
    </row>
    <row r="86" spans="1:5" ht="13" x14ac:dyDescent="0.15">
      <c r="A86" s="2" t="s">
        <v>13</v>
      </c>
      <c r="B86" s="2">
        <v>32977</v>
      </c>
      <c r="C86" s="2" t="s">
        <v>46</v>
      </c>
      <c r="D86" s="2" t="s">
        <v>37</v>
      </c>
      <c r="E86" s="2" t="s">
        <v>43</v>
      </c>
    </row>
    <row r="87" spans="1:5" ht="13" x14ac:dyDescent="0.15">
      <c r="A87" s="2" t="s">
        <v>13</v>
      </c>
      <c r="B87" s="2">
        <v>30396</v>
      </c>
      <c r="C87" s="2" t="s">
        <v>46</v>
      </c>
      <c r="D87" s="2" t="s">
        <v>38</v>
      </c>
      <c r="E87" s="2" t="s">
        <v>43</v>
      </c>
    </row>
    <row r="88" spans="1:5" ht="13" x14ac:dyDescent="0.15">
      <c r="A88" s="2" t="s">
        <v>13</v>
      </c>
      <c r="B88" s="2">
        <v>33592</v>
      </c>
      <c r="C88" s="2" t="s">
        <v>47</v>
      </c>
      <c r="D88" s="2" t="s">
        <v>37</v>
      </c>
      <c r="E88" s="2" t="s">
        <v>43</v>
      </c>
    </row>
    <row r="89" spans="1:5" ht="13" x14ac:dyDescent="0.15">
      <c r="A89" s="2" t="s">
        <v>13</v>
      </c>
      <c r="B89" s="2">
        <v>31262</v>
      </c>
      <c r="C89" s="2" t="s">
        <v>47</v>
      </c>
      <c r="D89" s="2" t="s">
        <v>38</v>
      </c>
      <c r="E89" s="2" t="s">
        <v>43</v>
      </c>
    </row>
    <row r="90" spans="1:5" ht="13" x14ac:dyDescent="0.15">
      <c r="A90" s="2" t="s">
        <v>13</v>
      </c>
      <c r="B90" s="2">
        <v>34526</v>
      </c>
      <c r="C90" s="2" t="s">
        <v>48</v>
      </c>
      <c r="D90" s="2" t="s">
        <v>37</v>
      </c>
      <c r="E90" s="2" t="s">
        <v>43</v>
      </c>
    </row>
    <row r="91" spans="1:5" ht="13" x14ac:dyDescent="0.15">
      <c r="A91" s="2" t="s">
        <v>13</v>
      </c>
      <c r="B91" s="2">
        <v>31884</v>
      </c>
      <c r="C91" s="2" t="s">
        <v>48</v>
      </c>
      <c r="D91" s="2" t="s">
        <v>38</v>
      </c>
      <c r="E91" s="2" t="s">
        <v>43</v>
      </c>
    </row>
    <row r="92" spans="1:5" ht="13" x14ac:dyDescent="0.15">
      <c r="A92" s="2" t="s">
        <v>13</v>
      </c>
      <c r="B92" s="2">
        <v>33718</v>
      </c>
      <c r="C92" s="2" t="s">
        <v>49</v>
      </c>
      <c r="D92" s="2" t="s">
        <v>37</v>
      </c>
      <c r="E92" s="2" t="s">
        <v>43</v>
      </c>
    </row>
    <row r="93" spans="1:5" ht="13" x14ac:dyDescent="0.15">
      <c r="A93" s="2" t="s">
        <v>13</v>
      </c>
      <c r="B93" s="2">
        <v>31330</v>
      </c>
      <c r="C93" s="2" t="s">
        <v>49</v>
      </c>
      <c r="D93" s="2" t="s">
        <v>38</v>
      </c>
      <c r="E93" s="2" t="s">
        <v>43</v>
      </c>
    </row>
    <row r="94" spans="1:5" ht="13" x14ac:dyDescent="0.15">
      <c r="A94" s="2" t="s">
        <v>13</v>
      </c>
      <c r="B94" s="2">
        <v>35609</v>
      </c>
      <c r="C94" s="2" t="s">
        <v>50</v>
      </c>
      <c r="D94" s="2" t="s">
        <v>37</v>
      </c>
      <c r="E94" s="2" t="s">
        <v>43</v>
      </c>
    </row>
    <row r="95" spans="1:5" ht="13" x14ac:dyDescent="0.15">
      <c r="A95" s="2" t="s">
        <v>13</v>
      </c>
      <c r="B95" s="2">
        <v>32811</v>
      </c>
      <c r="C95" s="2" t="s">
        <v>50</v>
      </c>
      <c r="D95" s="2" t="s">
        <v>38</v>
      </c>
      <c r="E95" s="2" t="s">
        <v>43</v>
      </c>
    </row>
    <row r="96" spans="1:5" ht="13" x14ac:dyDescent="0.15">
      <c r="A96" s="2" t="s">
        <v>13</v>
      </c>
      <c r="B96" s="2">
        <v>32403</v>
      </c>
      <c r="C96" s="2" t="s">
        <v>51</v>
      </c>
      <c r="D96" s="2" t="s">
        <v>37</v>
      </c>
      <c r="E96" s="2" t="s">
        <v>43</v>
      </c>
    </row>
    <row r="97" spans="1:5" ht="13" x14ac:dyDescent="0.15">
      <c r="A97" s="2" t="s">
        <v>13</v>
      </c>
      <c r="B97" s="2">
        <v>31670</v>
      </c>
      <c r="C97" s="2" t="s">
        <v>51</v>
      </c>
      <c r="D97" s="2" t="s">
        <v>38</v>
      </c>
      <c r="E97" s="2" t="s">
        <v>43</v>
      </c>
    </row>
    <row r="98" spans="1:5" ht="13" x14ac:dyDescent="0.15">
      <c r="A98" s="2" t="s">
        <v>13</v>
      </c>
      <c r="B98" s="2">
        <v>27260</v>
      </c>
      <c r="C98" s="2" t="s">
        <v>52</v>
      </c>
      <c r="D98" s="2" t="s">
        <v>37</v>
      </c>
      <c r="E98" s="2" t="s">
        <v>43</v>
      </c>
    </row>
    <row r="99" spans="1:5" ht="13" x14ac:dyDescent="0.15">
      <c r="A99" s="2" t="s">
        <v>13</v>
      </c>
      <c r="B99" s="2">
        <v>28426</v>
      </c>
      <c r="C99" s="2" t="s">
        <v>52</v>
      </c>
      <c r="D99" s="2" t="s">
        <v>38</v>
      </c>
      <c r="E99" s="2" t="s">
        <v>43</v>
      </c>
    </row>
    <row r="100" spans="1:5" ht="13" x14ac:dyDescent="0.15">
      <c r="A100" s="2" t="s">
        <v>13</v>
      </c>
      <c r="B100" s="2">
        <v>23527</v>
      </c>
      <c r="C100" s="2" t="s">
        <v>53</v>
      </c>
      <c r="D100" s="2" t="s">
        <v>37</v>
      </c>
      <c r="E100" s="2" t="s">
        <v>43</v>
      </c>
    </row>
    <row r="101" spans="1:5" ht="13" x14ac:dyDescent="0.15">
      <c r="A101" s="2" t="s">
        <v>13</v>
      </c>
      <c r="B101" s="2">
        <v>25040</v>
      </c>
      <c r="C101" s="2" t="s">
        <v>53</v>
      </c>
      <c r="D101" s="2" t="s">
        <v>38</v>
      </c>
      <c r="E101" s="2" t="s">
        <v>43</v>
      </c>
    </row>
    <row r="102" spans="1:5" ht="13" x14ac:dyDescent="0.15">
      <c r="A102" s="2" t="s">
        <v>13</v>
      </c>
      <c r="B102" s="2">
        <v>21670</v>
      </c>
      <c r="C102" s="2" t="s">
        <v>54</v>
      </c>
      <c r="D102" s="2" t="s">
        <v>37</v>
      </c>
      <c r="E102" s="2" t="s">
        <v>43</v>
      </c>
    </row>
    <row r="103" spans="1:5" ht="13" x14ac:dyDescent="0.15">
      <c r="A103" s="2" t="s">
        <v>13</v>
      </c>
      <c r="B103" s="2">
        <v>22367</v>
      </c>
      <c r="C103" s="2" t="s">
        <v>54</v>
      </c>
      <c r="D103" s="2" t="s">
        <v>38</v>
      </c>
      <c r="E103" s="2" t="s">
        <v>43</v>
      </c>
    </row>
    <row r="104" spans="1:5" ht="13" x14ac:dyDescent="0.15">
      <c r="A104" s="2" t="s">
        <v>13</v>
      </c>
      <c r="B104" s="2">
        <v>17536</v>
      </c>
      <c r="C104" s="2" t="s">
        <v>55</v>
      </c>
      <c r="D104" s="2" t="s">
        <v>37</v>
      </c>
      <c r="E104" s="2" t="s">
        <v>43</v>
      </c>
    </row>
    <row r="105" spans="1:5" ht="13" x14ac:dyDescent="0.15">
      <c r="A105" s="2" t="s">
        <v>13</v>
      </c>
      <c r="B105" s="2">
        <v>19213</v>
      </c>
      <c r="C105" s="2" t="s">
        <v>55</v>
      </c>
      <c r="D105" s="2" t="s">
        <v>38</v>
      </c>
      <c r="E105" s="2" t="s">
        <v>43</v>
      </c>
    </row>
    <row r="106" spans="1:5" ht="13" x14ac:dyDescent="0.15">
      <c r="A106" s="2" t="s">
        <v>13</v>
      </c>
      <c r="B106" s="2">
        <v>31562</v>
      </c>
      <c r="C106" s="2" t="s">
        <v>42</v>
      </c>
      <c r="D106" s="2" t="s">
        <v>37</v>
      </c>
      <c r="E106" s="2" t="s">
        <v>56</v>
      </c>
    </row>
    <row r="107" spans="1:5" ht="13" x14ac:dyDescent="0.15">
      <c r="A107" s="2" t="s">
        <v>13</v>
      </c>
      <c r="B107" s="2">
        <v>28137</v>
      </c>
      <c r="C107" s="2" t="s">
        <v>42</v>
      </c>
      <c r="D107" s="2" t="s">
        <v>38</v>
      </c>
      <c r="E107" s="2" t="s">
        <v>56</v>
      </c>
    </row>
    <row r="108" spans="1:5" ht="13" x14ac:dyDescent="0.15">
      <c r="A108" s="2" t="s">
        <v>13</v>
      </c>
      <c r="B108" s="2">
        <v>37692</v>
      </c>
      <c r="C108" s="2" t="s">
        <v>44</v>
      </c>
      <c r="D108" s="2" t="s">
        <v>37</v>
      </c>
      <c r="E108" s="2" t="s">
        <v>56</v>
      </c>
    </row>
    <row r="109" spans="1:5" ht="13" x14ac:dyDescent="0.15">
      <c r="A109" s="2" t="s">
        <v>13</v>
      </c>
      <c r="B109" s="2">
        <v>34796</v>
      </c>
      <c r="C109" s="2" t="s">
        <v>44</v>
      </c>
      <c r="D109" s="2" t="s">
        <v>38</v>
      </c>
      <c r="E109" s="2" t="s">
        <v>56</v>
      </c>
    </row>
    <row r="110" spans="1:5" ht="13" x14ac:dyDescent="0.15">
      <c r="A110" s="2" t="s">
        <v>13</v>
      </c>
      <c r="B110" s="2">
        <v>34542</v>
      </c>
      <c r="C110" s="2" t="s">
        <v>45</v>
      </c>
      <c r="D110" s="2" t="s">
        <v>37</v>
      </c>
      <c r="E110" s="2" t="s">
        <v>56</v>
      </c>
    </row>
    <row r="111" spans="1:5" ht="13" x14ac:dyDescent="0.15">
      <c r="A111" s="2" t="s">
        <v>13</v>
      </c>
      <c r="B111" s="2">
        <v>31702</v>
      </c>
      <c r="C111" s="2" t="s">
        <v>45</v>
      </c>
      <c r="D111" s="2" t="s">
        <v>38</v>
      </c>
      <c r="E111" s="2" t="s">
        <v>56</v>
      </c>
    </row>
    <row r="112" spans="1:5" ht="13" x14ac:dyDescent="0.15">
      <c r="A112" s="2" t="s">
        <v>13</v>
      </c>
      <c r="B112" s="2">
        <v>29678</v>
      </c>
      <c r="C112" s="2" t="s">
        <v>46</v>
      </c>
      <c r="D112" s="2" t="s">
        <v>37</v>
      </c>
      <c r="E112" s="2" t="s">
        <v>56</v>
      </c>
    </row>
    <row r="113" spans="1:5" ht="13" x14ac:dyDescent="0.15">
      <c r="A113" s="2" t="s">
        <v>13</v>
      </c>
      <c r="B113" s="2">
        <v>26834</v>
      </c>
      <c r="C113" s="2" t="s">
        <v>46</v>
      </c>
      <c r="D113" s="2" t="s">
        <v>38</v>
      </c>
      <c r="E113" s="2" t="s">
        <v>56</v>
      </c>
    </row>
    <row r="114" spans="1:5" ht="13" x14ac:dyDescent="0.15">
      <c r="A114" s="2" t="s">
        <v>13</v>
      </c>
      <c r="B114" s="2">
        <v>32494</v>
      </c>
      <c r="C114" s="2" t="s">
        <v>47</v>
      </c>
      <c r="D114" s="2" t="s">
        <v>37</v>
      </c>
      <c r="E114" s="2" t="s">
        <v>56</v>
      </c>
    </row>
    <row r="115" spans="1:5" ht="13" x14ac:dyDescent="0.15">
      <c r="A115" s="2" t="s">
        <v>13</v>
      </c>
      <c r="B115" s="2">
        <v>30171</v>
      </c>
      <c r="C115" s="2" t="s">
        <v>47</v>
      </c>
      <c r="D115" s="2" t="s">
        <v>38</v>
      </c>
      <c r="E115" s="2" t="s">
        <v>56</v>
      </c>
    </row>
    <row r="116" spans="1:5" ht="13" x14ac:dyDescent="0.15">
      <c r="A116" s="2" t="s">
        <v>13</v>
      </c>
      <c r="B116" s="2">
        <v>33022</v>
      </c>
      <c r="C116" s="2" t="s">
        <v>48</v>
      </c>
      <c r="D116" s="2" t="s">
        <v>37</v>
      </c>
      <c r="E116" s="2" t="s">
        <v>56</v>
      </c>
    </row>
    <row r="117" spans="1:5" ht="13" x14ac:dyDescent="0.15">
      <c r="A117" s="2" t="s">
        <v>13</v>
      </c>
      <c r="B117" s="2">
        <v>31056</v>
      </c>
      <c r="C117" s="2" t="s">
        <v>48</v>
      </c>
      <c r="D117" s="2" t="s">
        <v>38</v>
      </c>
      <c r="E117" s="2" t="s">
        <v>56</v>
      </c>
    </row>
    <row r="118" spans="1:5" ht="13" x14ac:dyDescent="0.15">
      <c r="A118" s="2" t="s">
        <v>13</v>
      </c>
      <c r="B118" s="2">
        <v>33784</v>
      </c>
      <c r="C118" s="2" t="s">
        <v>49</v>
      </c>
      <c r="D118" s="2" t="s">
        <v>37</v>
      </c>
      <c r="E118" s="2" t="s">
        <v>56</v>
      </c>
    </row>
    <row r="119" spans="1:5" ht="13" x14ac:dyDescent="0.15">
      <c r="A119" s="2" t="s">
        <v>13</v>
      </c>
      <c r="B119" s="2">
        <v>31531</v>
      </c>
      <c r="C119" s="2" t="s">
        <v>49</v>
      </c>
      <c r="D119" s="2" t="s">
        <v>38</v>
      </c>
      <c r="E119" s="2" t="s">
        <v>56</v>
      </c>
    </row>
    <row r="120" spans="1:5" ht="13" x14ac:dyDescent="0.15">
      <c r="A120" s="2" t="s">
        <v>13</v>
      </c>
      <c r="B120" s="2">
        <v>33221</v>
      </c>
      <c r="C120" s="2" t="s">
        <v>50</v>
      </c>
      <c r="D120" s="2" t="s">
        <v>37</v>
      </c>
      <c r="E120" s="2" t="s">
        <v>56</v>
      </c>
    </row>
    <row r="121" spans="1:5" ht="13" x14ac:dyDescent="0.15">
      <c r="A121" s="2" t="s">
        <v>13</v>
      </c>
      <c r="B121" s="2">
        <v>30857</v>
      </c>
      <c r="C121" s="2" t="s">
        <v>50</v>
      </c>
      <c r="D121" s="2" t="s">
        <v>38</v>
      </c>
      <c r="E121" s="2" t="s">
        <v>56</v>
      </c>
    </row>
    <row r="122" spans="1:5" ht="13" x14ac:dyDescent="0.15">
      <c r="A122" s="2" t="s">
        <v>13</v>
      </c>
      <c r="B122" s="2">
        <v>33567</v>
      </c>
      <c r="C122" s="2" t="s">
        <v>51</v>
      </c>
      <c r="D122" s="2" t="s">
        <v>37</v>
      </c>
      <c r="E122" s="2" t="s">
        <v>56</v>
      </c>
    </row>
    <row r="123" spans="1:5" ht="13" x14ac:dyDescent="0.15">
      <c r="A123" s="2" t="s">
        <v>13</v>
      </c>
      <c r="B123" s="2">
        <v>31864</v>
      </c>
      <c r="C123" s="2" t="s">
        <v>51</v>
      </c>
      <c r="D123" s="2" t="s">
        <v>38</v>
      </c>
      <c r="E123" s="2" t="s">
        <v>56</v>
      </c>
    </row>
    <row r="124" spans="1:5" ht="13" x14ac:dyDescent="0.15">
      <c r="A124" s="2" t="s">
        <v>13</v>
      </c>
      <c r="B124" s="2">
        <v>29748</v>
      </c>
      <c r="C124" s="2" t="s">
        <v>52</v>
      </c>
      <c r="D124" s="2" t="s">
        <v>37</v>
      </c>
      <c r="E124" s="2" t="s">
        <v>56</v>
      </c>
    </row>
    <row r="125" spans="1:5" ht="13" x14ac:dyDescent="0.15">
      <c r="A125" s="2" t="s">
        <v>13</v>
      </c>
      <c r="B125" s="2">
        <v>30312</v>
      </c>
      <c r="C125" s="2" t="s">
        <v>52</v>
      </c>
      <c r="D125" s="2" t="s">
        <v>38</v>
      </c>
      <c r="E125" s="2" t="s">
        <v>56</v>
      </c>
    </row>
    <row r="126" spans="1:5" ht="13" x14ac:dyDescent="0.15">
      <c r="A126" s="2" t="s">
        <v>13</v>
      </c>
      <c r="B126" s="2">
        <v>25273</v>
      </c>
      <c r="C126" s="2" t="s">
        <v>53</v>
      </c>
      <c r="D126" s="2" t="s">
        <v>37</v>
      </c>
      <c r="E126" s="2" t="s">
        <v>56</v>
      </c>
    </row>
    <row r="127" spans="1:5" ht="13" x14ac:dyDescent="0.15">
      <c r="A127" s="2" t="s">
        <v>13</v>
      </c>
      <c r="B127" s="2">
        <v>26862</v>
      </c>
      <c r="C127" s="2" t="s">
        <v>53</v>
      </c>
      <c r="D127" s="2" t="s">
        <v>38</v>
      </c>
      <c r="E127" s="2" t="s">
        <v>56</v>
      </c>
    </row>
    <row r="128" spans="1:5" ht="13" x14ac:dyDescent="0.15">
      <c r="A128" s="2" t="s">
        <v>13</v>
      </c>
      <c r="B128" s="2">
        <v>22673</v>
      </c>
      <c r="C128" s="2" t="s">
        <v>54</v>
      </c>
      <c r="D128" s="2" t="s">
        <v>37</v>
      </c>
      <c r="E128" s="2" t="s">
        <v>56</v>
      </c>
    </row>
    <row r="129" spans="1:5" ht="13" x14ac:dyDescent="0.15">
      <c r="A129" s="2" t="s">
        <v>13</v>
      </c>
      <c r="B129" s="2">
        <v>23383</v>
      </c>
      <c r="C129" s="2" t="s">
        <v>54</v>
      </c>
      <c r="D129" s="2" t="s">
        <v>38</v>
      </c>
      <c r="E129" s="2" t="s">
        <v>56</v>
      </c>
    </row>
    <row r="130" spans="1:5" ht="13" x14ac:dyDescent="0.15">
      <c r="A130" s="2" t="s">
        <v>13</v>
      </c>
      <c r="B130" s="2">
        <v>19554</v>
      </c>
      <c r="C130" s="2" t="s">
        <v>55</v>
      </c>
      <c r="D130" s="2" t="s">
        <v>37</v>
      </c>
      <c r="E130" s="2" t="s">
        <v>56</v>
      </c>
    </row>
    <row r="131" spans="1:5" ht="13" x14ac:dyDescent="0.15">
      <c r="A131" s="2" t="s">
        <v>13</v>
      </c>
      <c r="B131" s="2">
        <v>20921</v>
      </c>
      <c r="C131" s="2" t="s">
        <v>55</v>
      </c>
      <c r="D131" s="2" t="s">
        <v>38</v>
      </c>
      <c r="E131" s="2" t="s">
        <v>56</v>
      </c>
    </row>
    <row r="132" spans="1:5" ht="13" x14ac:dyDescent="0.15">
      <c r="A132" s="2" t="s">
        <v>13</v>
      </c>
      <c r="B132" s="2">
        <v>32679</v>
      </c>
      <c r="C132" s="2" t="s">
        <v>42</v>
      </c>
      <c r="D132" s="2" t="s">
        <v>37</v>
      </c>
      <c r="E132" s="2" t="s">
        <v>57</v>
      </c>
    </row>
    <row r="133" spans="1:5" ht="13" x14ac:dyDescent="0.15">
      <c r="A133" s="2" t="s">
        <v>13</v>
      </c>
      <c r="B133" s="2">
        <v>30523</v>
      </c>
      <c r="C133" s="2" t="s">
        <v>42</v>
      </c>
      <c r="D133" s="2" t="s">
        <v>38</v>
      </c>
      <c r="E133" s="2" t="s">
        <v>57</v>
      </c>
    </row>
    <row r="134" spans="1:5" ht="13" x14ac:dyDescent="0.15">
      <c r="A134" s="2" t="s">
        <v>13</v>
      </c>
      <c r="B134" s="2">
        <v>32747</v>
      </c>
      <c r="C134" s="2" t="s">
        <v>44</v>
      </c>
      <c r="D134" s="2" t="s">
        <v>37</v>
      </c>
      <c r="E134" s="2" t="s">
        <v>57</v>
      </c>
    </row>
    <row r="135" spans="1:5" ht="13" x14ac:dyDescent="0.15">
      <c r="A135" s="2" t="s">
        <v>13</v>
      </c>
      <c r="B135" s="2">
        <v>28502</v>
      </c>
      <c r="C135" s="2" t="s">
        <v>44</v>
      </c>
      <c r="D135" s="2" t="s">
        <v>38</v>
      </c>
      <c r="E135" s="2" t="s">
        <v>57</v>
      </c>
    </row>
    <row r="136" spans="1:5" ht="13" x14ac:dyDescent="0.15">
      <c r="A136" s="2" t="s">
        <v>13</v>
      </c>
      <c r="B136" s="2">
        <v>36346</v>
      </c>
      <c r="C136" s="2" t="s">
        <v>45</v>
      </c>
      <c r="D136" s="2" t="s">
        <v>37</v>
      </c>
      <c r="E136" s="2" t="s">
        <v>57</v>
      </c>
    </row>
    <row r="137" spans="1:5" ht="13" x14ac:dyDescent="0.15">
      <c r="A137" s="2" t="s">
        <v>13</v>
      </c>
      <c r="B137" s="2">
        <v>33806</v>
      </c>
      <c r="C137" s="2" t="s">
        <v>45</v>
      </c>
      <c r="D137" s="2" t="s">
        <v>38</v>
      </c>
      <c r="E137" s="2" t="s">
        <v>57</v>
      </c>
    </row>
    <row r="138" spans="1:5" ht="13" x14ac:dyDescent="0.15">
      <c r="A138" s="2" t="s">
        <v>13</v>
      </c>
      <c r="B138" s="2">
        <v>33856</v>
      </c>
      <c r="C138" s="2" t="s">
        <v>46</v>
      </c>
      <c r="D138" s="2" t="s">
        <v>37</v>
      </c>
      <c r="E138" s="2" t="s">
        <v>57</v>
      </c>
    </row>
    <row r="139" spans="1:5" ht="13" x14ac:dyDescent="0.15">
      <c r="A139" s="2" t="s">
        <v>13</v>
      </c>
      <c r="B139" s="2">
        <v>31280</v>
      </c>
      <c r="C139" s="2" t="s">
        <v>46</v>
      </c>
      <c r="D139" s="2" t="s">
        <v>38</v>
      </c>
      <c r="E139" s="2" t="s">
        <v>57</v>
      </c>
    </row>
    <row r="140" spans="1:5" ht="13" x14ac:dyDescent="0.15">
      <c r="A140" s="2" t="s">
        <v>13</v>
      </c>
      <c r="B140" s="2">
        <v>29217</v>
      </c>
      <c r="C140" s="2" t="s">
        <v>47</v>
      </c>
      <c r="D140" s="2" t="s">
        <v>37</v>
      </c>
      <c r="E140" s="2" t="s">
        <v>57</v>
      </c>
    </row>
    <row r="141" spans="1:5" ht="13" x14ac:dyDescent="0.15">
      <c r="A141" s="2" t="s">
        <v>13</v>
      </c>
      <c r="B141" s="2">
        <v>26505</v>
      </c>
      <c r="C141" s="2" t="s">
        <v>47</v>
      </c>
      <c r="D141" s="2" t="s">
        <v>38</v>
      </c>
      <c r="E141" s="2" t="s">
        <v>57</v>
      </c>
    </row>
    <row r="142" spans="1:5" ht="13" x14ac:dyDescent="0.15">
      <c r="A142" s="2" t="s">
        <v>13</v>
      </c>
      <c r="B142" s="2">
        <v>32125</v>
      </c>
      <c r="C142" s="2" t="s">
        <v>48</v>
      </c>
      <c r="D142" s="2" t="s">
        <v>37</v>
      </c>
      <c r="E142" s="2" t="s">
        <v>57</v>
      </c>
    </row>
    <row r="143" spans="1:5" ht="13" x14ac:dyDescent="0.15">
      <c r="A143" s="2" t="s">
        <v>13</v>
      </c>
      <c r="B143" s="2">
        <v>29827</v>
      </c>
      <c r="C143" s="2" t="s">
        <v>48</v>
      </c>
      <c r="D143" s="2" t="s">
        <v>38</v>
      </c>
      <c r="E143" s="2" t="s">
        <v>57</v>
      </c>
    </row>
    <row r="144" spans="1:5" ht="13" x14ac:dyDescent="0.15">
      <c r="A144" s="2" t="s">
        <v>13</v>
      </c>
      <c r="B144" s="2">
        <v>32250</v>
      </c>
      <c r="C144" s="2" t="s">
        <v>49</v>
      </c>
      <c r="D144" s="2" t="s">
        <v>37</v>
      </c>
      <c r="E144" s="2" t="s">
        <v>57</v>
      </c>
    </row>
    <row r="145" spans="1:5" ht="13" x14ac:dyDescent="0.15">
      <c r="A145" s="2" t="s">
        <v>13</v>
      </c>
      <c r="B145" s="2">
        <v>30763</v>
      </c>
      <c r="C145" s="2" t="s">
        <v>49</v>
      </c>
      <c r="D145" s="2" t="s">
        <v>38</v>
      </c>
      <c r="E145" s="2" t="s">
        <v>57</v>
      </c>
    </row>
    <row r="146" spans="1:5" ht="13" x14ac:dyDescent="0.15">
      <c r="A146" s="2" t="s">
        <v>13</v>
      </c>
      <c r="B146" s="2">
        <v>32366</v>
      </c>
      <c r="C146" s="2" t="s">
        <v>50</v>
      </c>
      <c r="D146" s="2" t="s">
        <v>37</v>
      </c>
      <c r="E146" s="2" t="s">
        <v>57</v>
      </c>
    </row>
    <row r="147" spans="1:5" ht="13" x14ac:dyDescent="0.15">
      <c r="A147" s="2" t="s">
        <v>13</v>
      </c>
      <c r="B147" s="2">
        <v>30177</v>
      </c>
      <c r="C147" s="2" t="s">
        <v>50</v>
      </c>
      <c r="D147" s="2" t="s">
        <v>38</v>
      </c>
      <c r="E147" s="2" t="s">
        <v>57</v>
      </c>
    </row>
    <row r="148" spans="1:5" ht="13" x14ac:dyDescent="0.15">
      <c r="A148" s="2" t="s">
        <v>13</v>
      </c>
      <c r="B148" s="2">
        <v>32111</v>
      </c>
      <c r="C148" s="2" t="s">
        <v>51</v>
      </c>
      <c r="D148" s="2" t="s">
        <v>37</v>
      </c>
      <c r="E148" s="2" t="s">
        <v>57</v>
      </c>
    </row>
    <row r="149" spans="1:5" ht="13" x14ac:dyDescent="0.15">
      <c r="A149" s="2" t="s">
        <v>13</v>
      </c>
      <c r="B149" s="2">
        <v>30278</v>
      </c>
      <c r="C149" s="2" t="s">
        <v>51</v>
      </c>
      <c r="D149" s="2" t="s">
        <v>38</v>
      </c>
      <c r="E149" s="2" t="s">
        <v>57</v>
      </c>
    </row>
    <row r="150" spans="1:5" ht="13" x14ac:dyDescent="0.15">
      <c r="A150" s="2" t="s">
        <v>13</v>
      </c>
      <c r="B150" s="2">
        <v>31733</v>
      </c>
      <c r="C150" s="2" t="s">
        <v>52</v>
      </c>
      <c r="D150" s="2" t="s">
        <v>37</v>
      </c>
      <c r="E150" s="2" t="s">
        <v>57</v>
      </c>
    </row>
    <row r="151" spans="1:5" ht="13" x14ac:dyDescent="0.15">
      <c r="A151" s="2" t="s">
        <v>13</v>
      </c>
      <c r="B151" s="2">
        <v>31074</v>
      </c>
      <c r="C151" s="2" t="s">
        <v>52</v>
      </c>
      <c r="D151" s="2" t="s">
        <v>38</v>
      </c>
      <c r="E151" s="2" t="s">
        <v>57</v>
      </c>
    </row>
    <row r="152" spans="1:5" ht="13" x14ac:dyDescent="0.15">
      <c r="A152" s="2" t="s">
        <v>13</v>
      </c>
      <c r="B152" s="2">
        <v>28298</v>
      </c>
      <c r="C152" s="2" t="s">
        <v>53</v>
      </c>
      <c r="D152" s="2" t="s">
        <v>37</v>
      </c>
      <c r="E152" s="2" t="s">
        <v>57</v>
      </c>
    </row>
    <row r="153" spans="1:5" ht="13" x14ac:dyDescent="0.15">
      <c r="A153" s="2" t="s">
        <v>13</v>
      </c>
      <c r="B153" s="2">
        <v>29611</v>
      </c>
      <c r="C153" s="2" t="s">
        <v>53</v>
      </c>
      <c r="D153" s="2" t="s">
        <v>38</v>
      </c>
      <c r="E153" s="2" t="s">
        <v>57</v>
      </c>
    </row>
    <row r="154" spans="1:5" ht="13" x14ac:dyDescent="0.15">
      <c r="A154" s="2" t="s">
        <v>13</v>
      </c>
      <c r="B154" s="2">
        <v>24356</v>
      </c>
      <c r="C154" s="2" t="s">
        <v>54</v>
      </c>
      <c r="D154" s="2" t="s">
        <v>37</v>
      </c>
      <c r="E154" s="2" t="s">
        <v>57</v>
      </c>
    </row>
    <row r="155" spans="1:5" ht="13" x14ac:dyDescent="0.15">
      <c r="A155" s="2" t="s">
        <v>13</v>
      </c>
      <c r="B155" s="2">
        <v>26473</v>
      </c>
      <c r="C155" s="2" t="s">
        <v>54</v>
      </c>
      <c r="D155" s="2" t="s">
        <v>38</v>
      </c>
      <c r="E155" s="2" t="s">
        <v>57</v>
      </c>
    </row>
    <row r="156" spans="1:5" ht="13" x14ac:dyDescent="0.15">
      <c r="A156" s="2" t="s">
        <v>13</v>
      </c>
      <c r="B156" s="2">
        <v>20783</v>
      </c>
      <c r="C156" s="2" t="s">
        <v>55</v>
      </c>
      <c r="D156" s="2" t="s">
        <v>37</v>
      </c>
      <c r="E156" s="2" t="s">
        <v>57</v>
      </c>
    </row>
    <row r="157" spans="1:5" ht="13" x14ac:dyDescent="0.15">
      <c r="A157" s="2" t="s">
        <v>13</v>
      </c>
      <c r="B157" s="2">
        <v>22315</v>
      </c>
      <c r="C157" s="2" t="s">
        <v>55</v>
      </c>
      <c r="D157" s="2" t="s">
        <v>38</v>
      </c>
      <c r="E157" s="2" t="s">
        <v>57</v>
      </c>
    </row>
    <row r="158" spans="1:5" ht="13" x14ac:dyDescent="0.15">
      <c r="A158" s="2" t="s">
        <v>15</v>
      </c>
      <c r="B158" s="2">
        <v>56850</v>
      </c>
      <c r="C158" s="2" t="s">
        <v>42</v>
      </c>
      <c r="D158" s="2" t="s">
        <v>37</v>
      </c>
      <c r="E158" s="2" t="s">
        <v>43</v>
      </c>
    </row>
    <row r="159" spans="1:5" ht="13" x14ac:dyDescent="0.15">
      <c r="A159" s="2" t="s">
        <v>15</v>
      </c>
      <c r="B159" s="2">
        <v>53645</v>
      </c>
      <c r="C159" s="2" t="s">
        <v>42</v>
      </c>
      <c r="D159" s="2" t="s">
        <v>38</v>
      </c>
      <c r="E159" s="2" t="s">
        <v>43</v>
      </c>
    </row>
    <row r="160" spans="1:5" ht="13" x14ac:dyDescent="0.15">
      <c r="A160" s="2" t="s">
        <v>15</v>
      </c>
      <c r="B160" s="2">
        <v>55378</v>
      </c>
      <c r="C160" s="2" t="s">
        <v>44</v>
      </c>
      <c r="D160" s="2" t="s">
        <v>37</v>
      </c>
      <c r="E160" s="2" t="s">
        <v>43</v>
      </c>
    </row>
    <row r="161" spans="1:5" ht="13" x14ac:dyDescent="0.15">
      <c r="A161" s="2" t="s">
        <v>15</v>
      </c>
      <c r="B161" s="2">
        <v>50210</v>
      </c>
      <c r="C161" s="2" t="s">
        <v>44</v>
      </c>
      <c r="D161" s="2" t="s">
        <v>38</v>
      </c>
      <c r="E161" s="2" t="s">
        <v>43</v>
      </c>
    </row>
    <row r="162" spans="1:5" ht="13" x14ac:dyDescent="0.15">
      <c r="A162" s="2" t="s">
        <v>15</v>
      </c>
      <c r="B162" s="2">
        <v>44771</v>
      </c>
      <c r="C162" s="2" t="s">
        <v>45</v>
      </c>
      <c r="D162" s="2" t="s">
        <v>37</v>
      </c>
      <c r="E162" s="2" t="s">
        <v>43</v>
      </c>
    </row>
    <row r="163" spans="1:5" ht="13" x14ac:dyDescent="0.15">
      <c r="A163" s="2" t="s">
        <v>15</v>
      </c>
      <c r="B163" s="2">
        <v>40682</v>
      </c>
      <c r="C163" s="2" t="s">
        <v>45</v>
      </c>
      <c r="D163" s="2" t="s">
        <v>38</v>
      </c>
      <c r="E163" s="2" t="s">
        <v>43</v>
      </c>
    </row>
    <row r="164" spans="1:5" ht="13" x14ac:dyDescent="0.15">
      <c r="A164" s="2" t="s">
        <v>15</v>
      </c>
      <c r="B164" s="2">
        <v>50272</v>
      </c>
      <c r="C164" s="2" t="s">
        <v>46</v>
      </c>
      <c r="D164" s="2" t="s">
        <v>37</v>
      </c>
      <c r="E164" s="2" t="s">
        <v>43</v>
      </c>
    </row>
    <row r="165" spans="1:5" ht="13" x14ac:dyDescent="0.15">
      <c r="A165" s="2" t="s">
        <v>15</v>
      </c>
      <c r="B165" s="2">
        <v>46787</v>
      </c>
      <c r="C165" s="2" t="s">
        <v>46</v>
      </c>
      <c r="D165" s="2" t="s">
        <v>38</v>
      </c>
      <c r="E165" s="2" t="s">
        <v>43</v>
      </c>
    </row>
    <row r="166" spans="1:5" ht="13" x14ac:dyDescent="0.15">
      <c r="A166" s="2" t="s">
        <v>15</v>
      </c>
      <c r="B166" s="2">
        <v>53573</v>
      </c>
      <c r="C166" s="2" t="s">
        <v>47</v>
      </c>
      <c r="D166" s="2" t="s">
        <v>37</v>
      </c>
      <c r="E166" s="2" t="s">
        <v>43</v>
      </c>
    </row>
    <row r="167" spans="1:5" ht="13" x14ac:dyDescent="0.15">
      <c r="A167" s="2" t="s">
        <v>15</v>
      </c>
      <c r="B167" s="2">
        <v>49378</v>
      </c>
      <c r="C167" s="2" t="s">
        <v>47</v>
      </c>
      <c r="D167" s="2" t="s">
        <v>38</v>
      </c>
      <c r="E167" s="2" t="s">
        <v>43</v>
      </c>
    </row>
    <row r="168" spans="1:5" ht="13" x14ac:dyDescent="0.15">
      <c r="A168" s="2" t="s">
        <v>15</v>
      </c>
      <c r="B168" s="2">
        <v>57379</v>
      </c>
      <c r="C168" s="2" t="s">
        <v>48</v>
      </c>
      <c r="D168" s="2" t="s">
        <v>37</v>
      </c>
      <c r="E168" s="2" t="s">
        <v>43</v>
      </c>
    </row>
    <row r="169" spans="1:5" ht="13" x14ac:dyDescent="0.15">
      <c r="A169" s="2" t="s">
        <v>15</v>
      </c>
      <c r="B169" s="2">
        <v>52553</v>
      </c>
      <c r="C169" s="2" t="s">
        <v>48</v>
      </c>
      <c r="D169" s="2" t="s">
        <v>38</v>
      </c>
      <c r="E169" s="2" t="s">
        <v>43</v>
      </c>
    </row>
    <row r="170" spans="1:5" ht="13" x14ac:dyDescent="0.15">
      <c r="A170" s="2" t="s">
        <v>15</v>
      </c>
      <c r="B170" s="2">
        <v>58462</v>
      </c>
      <c r="C170" s="2" t="s">
        <v>49</v>
      </c>
      <c r="D170" s="2" t="s">
        <v>37</v>
      </c>
      <c r="E170" s="2" t="s">
        <v>43</v>
      </c>
    </row>
    <row r="171" spans="1:5" ht="13" x14ac:dyDescent="0.15">
      <c r="A171" s="2" t="s">
        <v>15</v>
      </c>
      <c r="B171" s="2">
        <v>52790</v>
      </c>
      <c r="C171" s="2" t="s">
        <v>49</v>
      </c>
      <c r="D171" s="2" t="s">
        <v>38</v>
      </c>
      <c r="E171" s="2" t="s">
        <v>43</v>
      </c>
    </row>
    <row r="172" spans="1:5" ht="13" x14ac:dyDescent="0.15">
      <c r="A172" s="2" t="s">
        <v>15</v>
      </c>
      <c r="B172" s="2">
        <v>60460</v>
      </c>
      <c r="C172" s="2" t="s">
        <v>50</v>
      </c>
      <c r="D172" s="2" t="s">
        <v>37</v>
      </c>
      <c r="E172" s="2" t="s">
        <v>43</v>
      </c>
    </row>
    <row r="173" spans="1:5" ht="13" x14ac:dyDescent="0.15">
      <c r="A173" s="2" t="s">
        <v>15</v>
      </c>
      <c r="B173" s="2">
        <v>53845</v>
      </c>
      <c r="C173" s="2" t="s">
        <v>50</v>
      </c>
      <c r="D173" s="2" t="s">
        <v>38</v>
      </c>
      <c r="E173" s="2" t="s">
        <v>43</v>
      </c>
    </row>
    <row r="174" spans="1:5" ht="13" x14ac:dyDescent="0.15">
      <c r="A174" s="2" t="s">
        <v>15</v>
      </c>
      <c r="B174" s="2">
        <v>55396</v>
      </c>
      <c r="C174" s="2" t="s">
        <v>51</v>
      </c>
      <c r="D174" s="2" t="s">
        <v>37</v>
      </c>
      <c r="E174" s="2" t="s">
        <v>43</v>
      </c>
    </row>
    <row r="175" spans="1:5" ht="13" x14ac:dyDescent="0.15">
      <c r="A175" s="2" t="s">
        <v>15</v>
      </c>
      <c r="B175" s="2">
        <v>52811</v>
      </c>
      <c r="C175" s="2" t="s">
        <v>51</v>
      </c>
      <c r="D175" s="2" t="s">
        <v>38</v>
      </c>
      <c r="E175" s="2" t="s">
        <v>43</v>
      </c>
    </row>
    <row r="176" spans="1:5" ht="13" x14ac:dyDescent="0.15">
      <c r="A176" s="2" t="s">
        <v>15</v>
      </c>
      <c r="B176" s="2">
        <v>50846</v>
      </c>
      <c r="C176" s="2" t="s">
        <v>52</v>
      </c>
      <c r="D176" s="2" t="s">
        <v>37</v>
      </c>
      <c r="E176" s="2" t="s">
        <v>43</v>
      </c>
    </row>
    <row r="177" spans="1:5" ht="13" x14ac:dyDescent="0.15">
      <c r="A177" s="2" t="s">
        <v>15</v>
      </c>
      <c r="B177" s="2">
        <v>49954</v>
      </c>
      <c r="C177" s="2" t="s">
        <v>52</v>
      </c>
      <c r="D177" s="2" t="s">
        <v>38</v>
      </c>
      <c r="E177" s="2" t="s">
        <v>43</v>
      </c>
    </row>
    <row r="178" spans="1:5" ht="13" x14ac:dyDescent="0.15">
      <c r="A178" s="2" t="s">
        <v>15</v>
      </c>
      <c r="B178" s="2">
        <v>46572</v>
      </c>
      <c r="C178" s="2" t="s">
        <v>53</v>
      </c>
      <c r="D178" s="2" t="s">
        <v>37</v>
      </c>
      <c r="E178" s="2" t="s">
        <v>43</v>
      </c>
    </row>
    <row r="179" spans="1:5" ht="13" x14ac:dyDescent="0.15">
      <c r="A179" s="2" t="s">
        <v>15</v>
      </c>
      <c r="B179" s="2">
        <v>46862</v>
      </c>
      <c r="C179" s="2" t="s">
        <v>53</v>
      </c>
      <c r="D179" s="2" t="s">
        <v>38</v>
      </c>
      <c r="E179" s="2" t="s">
        <v>43</v>
      </c>
    </row>
    <row r="180" spans="1:5" ht="13" x14ac:dyDescent="0.15">
      <c r="A180" s="2" t="s">
        <v>15</v>
      </c>
      <c r="B180" s="2">
        <v>42535</v>
      </c>
      <c r="C180" s="2" t="s">
        <v>54</v>
      </c>
      <c r="D180" s="2" t="s">
        <v>37</v>
      </c>
      <c r="E180" s="2" t="s">
        <v>43</v>
      </c>
    </row>
    <row r="181" spans="1:5" ht="13" x14ac:dyDescent="0.15">
      <c r="A181" s="2" t="s">
        <v>15</v>
      </c>
      <c r="B181" s="2">
        <v>43172</v>
      </c>
      <c r="C181" s="2" t="s">
        <v>54</v>
      </c>
      <c r="D181" s="2" t="s">
        <v>38</v>
      </c>
      <c r="E181" s="2" t="s">
        <v>43</v>
      </c>
    </row>
    <row r="182" spans="1:5" ht="13" x14ac:dyDescent="0.15">
      <c r="A182" s="2" t="s">
        <v>15</v>
      </c>
      <c r="B182" s="2">
        <v>37152</v>
      </c>
      <c r="C182" s="2" t="s">
        <v>55</v>
      </c>
      <c r="D182" s="2" t="s">
        <v>37</v>
      </c>
      <c r="E182" s="2" t="s">
        <v>43</v>
      </c>
    </row>
    <row r="183" spans="1:5" ht="13" x14ac:dyDescent="0.15">
      <c r="A183" s="2" t="s">
        <v>15</v>
      </c>
      <c r="B183" s="2">
        <v>39893</v>
      </c>
      <c r="C183" s="2" t="s">
        <v>55</v>
      </c>
      <c r="D183" s="2" t="s">
        <v>38</v>
      </c>
      <c r="E183" s="2" t="s">
        <v>43</v>
      </c>
    </row>
    <row r="184" spans="1:5" ht="13" x14ac:dyDescent="0.15">
      <c r="A184" s="2" t="s">
        <v>15</v>
      </c>
      <c r="B184" s="2">
        <v>44696</v>
      </c>
      <c r="C184" s="2" t="s">
        <v>42</v>
      </c>
      <c r="D184" s="2" t="s">
        <v>37</v>
      </c>
      <c r="E184" s="2" t="s">
        <v>56</v>
      </c>
    </row>
    <row r="185" spans="1:5" ht="13" x14ac:dyDescent="0.15">
      <c r="A185" s="2" t="s">
        <v>15</v>
      </c>
      <c r="B185" s="2">
        <v>39985</v>
      </c>
      <c r="C185" s="2" t="s">
        <v>42</v>
      </c>
      <c r="D185" s="2" t="s">
        <v>38</v>
      </c>
      <c r="E185" s="2" t="s">
        <v>56</v>
      </c>
    </row>
    <row r="186" spans="1:5" ht="13" x14ac:dyDescent="0.15">
      <c r="A186" s="2" t="s">
        <v>15</v>
      </c>
      <c r="B186" s="2">
        <v>57716</v>
      </c>
      <c r="C186" s="2" t="s">
        <v>44</v>
      </c>
      <c r="D186" s="2" t="s">
        <v>37</v>
      </c>
      <c r="E186" s="2" t="s">
        <v>56</v>
      </c>
    </row>
    <row r="187" spans="1:5" ht="13" x14ac:dyDescent="0.15">
      <c r="A187" s="2" t="s">
        <v>15</v>
      </c>
      <c r="B187" s="2">
        <v>53901</v>
      </c>
      <c r="C187" s="2" t="s">
        <v>44</v>
      </c>
      <c r="D187" s="2" t="s">
        <v>38</v>
      </c>
      <c r="E187" s="2" t="s">
        <v>56</v>
      </c>
    </row>
    <row r="188" spans="1:5" ht="13" x14ac:dyDescent="0.15">
      <c r="A188" s="2" t="s">
        <v>15</v>
      </c>
      <c r="B188" s="2">
        <v>54775</v>
      </c>
      <c r="C188" s="2" t="s">
        <v>45</v>
      </c>
      <c r="D188" s="2" t="s">
        <v>37</v>
      </c>
      <c r="E188" s="2" t="s">
        <v>56</v>
      </c>
    </row>
    <row r="189" spans="1:5" ht="13" x14ac:dyDescent="0.15">
      <c r="A189" s="2" t="s">
        <v>15</v>
      </c>
      <c r="B189" s="2">
        <v>49949</v>
      </c>
      <c r="C189" s="2" t="s">
        <v>45</v>
      </c>
      <c r="D189" s="2" t="s">
        <v>38</v>
      </c>
      <c r="E189" s="2" t="s">
        <v>56</v>
      </c>
    </row>
    <row r="190" spans="1:5" ht="13" x14ac:dyDescent="0.15">
      <c r="A190" s="2" t="s">
        <v>15</v>
      </c>
      <c r="B190" s="2">
        <v>44749</v>
      </c>
      <c r="C190" s="2" t="s">
        <v>46</v>
      </c>
      <c r="D190" s="2" t="s">
        <v>37</v>
      </c>
      <c r="E190" s="2" t="s">
        <v>56</v>
      </c>
    </row>
    <row r="191" spans="1:5" ht="13" x14ac:dyDescent="0.15">
      <c r="A191" s="2" t="s">
        <v>15</v>
      </c>
      <c r="B191" s="2">
        <v>40623</v>
      </c>
      <c r="C191" s="2" t="s">
        <v>46</v>
      </c>
      <c r="D191" s="2" t="s">
        <v>38</v>
      </c>
      <c r="E191" s="2" t="s">
        <v>56</v>
      </c>
    </row>
    <row r="192" spans="1:5" ht="13" x14ac:dyDescent="0.15">
      <c r="A192" s="2" t="s">
        <v>15</v>
      </c>
      <c r="B192" s="2">
        <v>50116</v>
      </c>
      <c r="C192" s="2" t="s">
        <v>47</v>
      </c>
      <c r="D192" s="2" t="s">
        <v>37</v>
      </c>
      <c r="E192" s="2" t="s">
        <v>56</v>
      </c>
    </row>
    <row r="193" spans="1:5" ht="13" x14ac:dyDescent="0.15">
      <c r="A193" s="2" t="s">
        <v>15</v>
      </c>
      <c r="B193" s="2">
        <v>46695</v>
      </c>
      <c r="C193" s="2" t="s">
        <v>47</v>
      </c>
      <c r="D193" s="2" t="s">
        <v>38</v>
      </c>
      <c r="E193" s="2" t="s">
        <v>56</v>
      </c>
    </row>
    <row r="194" spans="1:5" ht="13" x14ac:dyDescent="0.15">
      <c r="A194" s="2" t="s">
        <v>15</v>
      </c>
      <c r="B194" s="2">
        <v>53334</v>
      </c>
      <c r="C194" s="2" t="s">
        <v>48</v>
      </c>
      <c r="D194" s="2" t="s">
        <v>37</v>
      </c>
      <c r="E194" s="2" t="s">
        <v>56</v>
      </c>
    </row>
    <row r="195" spans="1:5" ht="13" x14ac:dyDescent="0.15">
      <c r="A195" s="2" t="s">
        <v>15</v>
      </c>
      <c r="B195" s="2">
        <v>49362</v>
      </c>
      <c r="C195" s="2" t="s">
        <v>48</v>
      </c>
      <c r="D195" s="2" t="s">
        <v>38</v>
      </c>
      <c r="E195" s="2" t="s">
        <v>56</v>
      </c>
    </row>
    <row r="196" spans="1:5" ht="13" x14ac:dyDescent="0.15">
      <c r="A196" s="2" t="s">
        <v>15</v>
      </c>
      <c r="B196" s="2">
        <v>56842</v>
      </c>
      <c r="C196" s="2" t="s">
        <v>49</v>
      </c>
      <c r="D196" s="2" t="s">
        <v>37</v>
      </c>
      <c r="E196" s="2" t="s">
        <v>56</v>
      </c>
    </row>
    <row r="197" spans="1:5" ht="13" x14ac:dyDescent="0.15">
      <c r="A197" s="2" t="s">
        <v>15</v>
      </c>
      <c r="B197" s="2">
        <v>52357</v>
      </c>
      <c r="C197" s="2" t="s">
        <v>49</v>
      </c>
      <c r="D197" s="2" t="s">
        <v>38</v>
      </c>
      <c r="E197" s="2" t="s">
        <v>56</v>
      </c>
    </row>
    <row r="198" spans="1:5" ht="13" x14ac:dyDescent="0.15">
      <c r="A198" s="2" t="s">
        <v>15</v>
      </c>
      <c r="B198" s="2">
        <v>58337</v>
      </c>
      <c r="C198" s="2" t="s">
        <v>50</v>
      </c>
      <c r="D198" s="2" t="s">
        <v>37</v>
      </c>
      <c r="E198" s="2" t="s">
        <v>56</v>
      </c>
    </row>
    <row r="199" spans="1:5" ht="13" x14ac:dyDescent="0.15">
      <c r="A199" s="2" t="s">
        <v>15</v>
      </c>
      <c r="B199" s="2">
        <v>52582</v>
      </c>
      <c r="C199" s="2" t="s">
        <v>50</v>
      </c>
      <c r="D199" s="2" t="s">
        <v>38</v>
      </c>
      <c r="E199" s="2" t="s">
        <v>56</v>
      </c>
    </row>
    <row r="200" spans="1:5" ht="13" x14ac:dyDescent="0.15">
      <c r="A200" s="2" t="s">
        <v>15</v>
      </c>
      <c r="B200" s="2">
        <v>58016</v>
      </c>
      <c r="C200" s="2" t="s">
        <v>51</v>
      </c>
      <c r="D200" s="2" t="s">
        <v>37</v>
      </c>
      <c r="E200" s="2" t="s">
        <v>56</v>
      </c>
    </row>
    <row r="201" spans="1:5" ht="13" x14ac:dyDescent="0.15">
      <c r="A201" s="2" t="s">
        <v>15</v>
      </c>
      <c r="B201" s="2">
        <v>53077</v>
      </c>
      <c r="C201" s="2" t="s">
        <v>51</v>
      </c>
      <c r="D201" s="2" t="s">
        <v>38</v>
      </c>
      <c r="E201" s="2" t="s">
        <v>56</v>
      </c>
    </row>
    <row r="202" spans="1:5" ht="13" x14ac:dyDescent="0.15">
      <c r="A202" s="2" t="s">
        <v>15</v>
      </c>
      <c r="B202" s="2">
        <v>52797</v>
      </c>
      <c r="C202" s="2" t="s">
        <v>52</v>
      </c>
      <c r="D202" s="2" t="s">
        <v>37</v>
      </c>
      <c r="E202" s="2" t="s">
        <v>56</v>
      </c>
    </row>
    <row r="203" spans="1:5" ht="13" x14ac:dyDescent="0.15">
      <c r="A203" s="2" t="s">
        <v>15</v>
      </c>
      <c r="B203" s="2">
        <v>51881</v>
      </c>
      <c r="C203" s="2" t="s">
        <v>52</v>
      </c>
      <c r="D203" s="2" t="s">
        <v>38</v>
      </c>
      <c r="E203" s="2" t="s">
        <v>56</v>
      </c>
    </row>
    <row r="204" spans="1:5" ht="13" x14ac:dyDescent="0.15">
      <c r="A204" s="2" t="s">
        <v>15</v>
      </c>
      <c r="B204" s="2">
        <v>47984</v>
      </c>
      <c r="C204" s="2" t="s">
        <v>53</v>
      </c>
      <c r="D204" s="2" t="s">
        <v>37</v>
      </c>
      <c r="E204" s="2" t="s">
        <v>56</v>
      </c>
    </row>
    <row r="205" spans="1:5" ht="13" x14ac:dyDescent="0.15">
      <c r="A205" s="2" t="s">
        <v>15</v>
      </c>
      <c r="B205" s="2">
        <v>48448</v>
      </c>
      <c r="C205" s="2" t="s">
        <v>53</v>
      </c>
      <c r="D205" s="2" t="s">
        <v>38</v>
      </c>
      <c r="E205" s="2" t="s">
        <v>56</v>
      </c>
    </row>
    <row r="206" spans="1:5" ht="13" x14ac:dyDescent="0.15">
      <c r="A206" s="2" t="s">
        <v>15</v>
      </c>
      <c r="B206" s="2">
        <v>44540</v>
      </c>
      <c r="C206" s="2" t="s">
        <v>54</v>
      </c>
      <c r="D206" s="2" t="s">
        <v>37</v>
      </c>
      <c r="E206" s="2" t="s">
        <v>56</v>
      </c>
    </row>
    <row r="207" spans="1:5" ht="13" x14ac:dyDescent="0.15">
      <c r="A207" s="2" t="s">
        <v>15</v>
      </c>
      <c r="B207" s="2">
        <v>44790</v>
      </c>
      <c r="C207" s="2" t="s">
        <v>54</v>
      </c>
      <c r="D207" s="2" t="s">
        <v>38</v>
      </c>
      <c r="E207" s="2" t="s">
        <v>56</v>
      </c>
    </row>
    <row r="208" spans="1:5" ht="13" x14ac:dyDescent="0.15">
      <c r="A208" s="2" t="s">
        <v>15</v>
      </c>
      <c r="B208" s="2">
        <v>39296</v>
      </c>
      <c r="C208" s="2" t="s">
        <v>55</v>
      </c>
      <c r="D208" s="2" t="s">
        <v>37</v>
      </c>
      <c r="E208" s="2" t="s">
        <v>56</v>
      </c>
    </row>
    <row r="209" spans="1:5" ht="13" x14ac:dyDescent="0.15">
      <c r="A209" s="2" t="s">
        <v>15</v>
      </c>
      <c r="B209" s="2">
        <v>41142</v>
      </c>
      <c r="C209" s="2" t="s">
        <v>55</v>
      </c>
      <c r="D209" s="2" t="s">
        <v>38</v>
      </c>
      <c r="E209" s="2" t="s">
        <v>56</v>
      </c>
    </row>
    <row r="210" spans="1:5" ht="13" x14ac:dyDescent="0.15">
      <c r="A210" s="2" t="s">
        <v>15</v>
      </c>
      <c r="B210" s="2">
        <v>51362</v>
      </c>
      <c r="C210" s="2" t="s">
        <v>42</v>
      </c>
      <c r="D210" s="2" t="s">
        <v>37</v>
      </c>
      <c r="E210" s="2" t="s">
        <v>57</v>
      </c>
    </row>
    <row r="211" spans="1:5" ht="13" x14ac:dyDescent="0.15">
      <c r="A211" s="2" t="s">
        <v>15</v>
      </c>
      <c r="B211" s="2">
        <v>47897</v>
      </c>
      <c r="C211" s="2" t="s">
        <v>42</v>
      </c>
      <c r="D211" s="2" t="s">
        <v>38</v>
      </c>
      <c r="E211" s="2" t="s">
        <v>57</v>
      </c>
    </row>
    <row r="212" spans="1:5" ht="13" x14ac:dyDescent="0.15">
      <c r="A212" s="2" t="s">
        <v>15</v>
      </c>
      <c r="B212" s="2">
        <v>45996</v>
      </c>
      <c r="C212" s="2" t="s">
        <v>44</v>
      </c>
      <c r="D212" s="2" t="s">
        <v>37</v>
      </c>
      <c r="E212" s="2" t="s">
        <v>57</v>
      </c>
    </row>
    <row r="213" spans="1:5" ht="13" x14ac:dyDescent="0.15">
      <c r="A213" s="2" t="s">
        <v>15</v>
      </c>
      <c r="B213" s="2">
        <v>40374</v>
      </c>
      <c r="C213" s="2" t="s">
        <v>44</v>
      </c>
      <c r="D213" s="2" t="s">
        <v>38</v>
      </c>
      <c r="E213" s="2" t="s">
        <v>57</v>
      </c>
    </row>
    <row r="214" spans="1:5" ht="13" x14ac:dyDescent="0.15">
      <c r="A214" s="2" t="s">
        <v>15</v>
      </c>
      <c r="B214" s="2">
        <v>56529</v>
      </c>
      <c r="C214" s="2" t="s">
        <v>45</v>
      </c>
      <c r="D214" s="2" t="s">
        <v>37</v>
      </c>
      <c r="E214" s="2" t="s">
        <v>57</v>
      </c>
    </row>
    <row r="215" spans="1:5" ht="13" x14ac:dyDescent="0.15">
      <c r="A215" s="2" t="s">
        <v>15</v>
      </c>
      <c r="B215" s="2">
        <v>53289</v>
      </c>
      <c r="C215" s="2" t="s">
        <v>45</v>
      </c>
      <c r="D215" s="2" t="s">
        <v>38</v>
      </c>
      <c r="E215" s="2" t="s">
        <v>57</v>
      </c>
    </row>
    <row r="216" spans="1:5" ht="13" x14ac:dyDescent="0.15">
      <c r="A216" s="2" t="s">
        <v>15</v>
      </c>
      <c r="B216" s="2">
        <v>54292</v>
      </c>
      <c r="C216" s="2" t="s">
        <v>46</v>
      </c>
      <c r="D216" s="2" t="s">
        <v>37</v>
      </c>
      <c r="E216" s="2" t="s">
        <v>57</v>
      </c>
    </row>
    <row r="217" spans="1:5" ht="13" x14ac:dyDescent="0.15">
      <c r="A217" s="2" t="s">
        <v>15</v>
      </c>
      <c r="B217" s="2">
        <v>49735</v>
      </c>
      <c r="C217" s="2" t="s">
        <v>46</v>
      </c>
      <c r="D217" s="2" t="s">
        <v>38</v>
      </c>
      <c r="E217" s="2" t="s">
        <v>57</v>
      </c>
    </row>
    <row r="218" spans="1:5" ht="13" x14ac:dyDescent="0.15">
      <c r="A218" s="2" t="s">
        <v>15</v>
      </c>
      <c r="B218" s="2">
        <v>44437</v>
      </c>
      <c r="C218" s="2" t="s">
        <v>47</v>
      </c>
      <c r="D218" s="2" t="s">
        <v>37</v>
      </c>
      <c r="E218" s="2" t="s">
        <v>57</v>
      </c>
    </row>
    <row r="219" spans="1:5" ht="13" x14ac:dyDescent="0.15">
      <c r="A219" s="2" t="s">
        <v>15</v>
      </c>
      <c r="B219" s="2">
        <v>40355</v>
      </c>
      <c r="C219" s="2" t="s">
        <v>47</v>
      </c>
      <c r="D219" s="2" t="s">
        <v>38</v>
      </c>
      <c r="E219" s="2" t="s">
        <v>57</v>
      </c>
    </row>
    <row r="220" spans="1:5" ht="13" x14ac:dyDescent="0.15">
      <c r="A220" s="2" t="s">
        <v>15</v>
      </c>
      <c r="B220" s="2">
        <v>49742</v>
      </c>
      <c r="C220" s="2" t="s">
        <v>48</v>
      </c>
      <c r="D220" s="2" t="s">
        <v>37</v>
      </c>
      <c r="E220" s="2" t="s">
        <v>57</v>
      </c>
    </row>
    <row r="221" spans="1:5" ht="13" x14ac:dyDescent="0.15">
      <c r="A221" s="2" t="s">
        <v>15</v>
      </c>
      <c r="B221" s="2">
        <v>46502</v>
      </c>
      <c r="C221" s="2" t="s">
        <v>48</v>
      </c>
      <c r="D221" s="2" t="s">
        <v>38</v>
      </c>
      <c r="E221" s="2" t="s">
        <v>57</v>
      </c>
    </row>
    <row r="222" spans="1:5" ht="13" x14ac:dyDescent="0.15">
      <c r="A222" s="2" t="s">
        <v>15</v>
      </c>
      <c r="B222" s="2">
        <v>52971</v>
      </c>
      <c r="C222" s="2" t="s">
        <v>49</v>
      </c>
      <c r="D222" s="2" t="s">
        <v>37</v>
      </c>
      <c r="E222" s="2" t="s">
        <v>57</v>
      </c>
    </row>
    <row r="223" spans="1:5" ht="13" x14ac:dyDescent="0.15">
      <c r="A223" s="2" t="s">
        <v>15</v>
      </c>
      <c r="B223" s="2">
        <v>49154</v>
      </c>
      <c r="C223" s="2" t="s">
        <v>49</v>
      </c>
      <c r="D223" s="2" t="s">
        <v>38</v>
      </c>
      <c r="E223" s="2" t="s">
        <v>57</v>
      </c>
    </row>
    <row r="224" spans="1:5" ht="13" x14ac:dyDescent="0.15">
      <c r="A224" s="2" t="s">
        <v>15</v>
      </c>
      <c r="B224" s="2">
        <v>55654</v>
      </c>
      <c r="C224" s="2" t="s">
        <v>50</v>
      </c>
      <c r="D224" s="2" t="s">
        <v>37</v>
      </c>
      <c r="E224" s="2" t="s">
        <v>57</v>
      </c>
    </row>
    <row r="225" spans="1:5" ht="13" x14ac:dyDescent="0.15">
      <c r="A225" s="2" t="s">
        <v>15</v>
      </c>
      <c r="B225" s="2">
        <v>50957</v>
      </c>
      <c r="C225" s="2" t="s">
        <v>50</v>
      </c>
      <c r="D225" s="2" t="s">
        <v>38</v>
      </c>
      <c r="E225" s="2" t="s">
        <v>57</v>
      </c>
    </row>
    <row r="226" spans="1:5" ht="13" x14ac:dyDescent="0.15">
      <c r="A226" s="2" t="s">
        <v>15</v>
      </c>
      <c r="B226" s="2">
        <v>56540</v>
      </c>
      <c r="C226" s="2" t="s">
        <v>51</v>
      </c>
      <c r="D226" s="2" t="s">
        <v>37</v>
      </c>
      <c r="E226" s="2" t="s">
        <v>57</v>
      </c>
    </row>
    <row r="227" spans="1:5" ht="13" x14ac:dyDescent="0.15">
      <c r="A227" s="2" t="s">
        <v>15</v>
      </c>
      <c r="B227" s="2">
        <v>51512</v>
      </c>
      <c r="C227" s="2" t="s">
        <v>51</v>
      </c>
      <c r="D227" s="2" t="s">
        <v>38</v>
      </c>
      <c r="E227" s="2" t="s">
        <v>57</v>
      </c>
    </row>
    <row r="228" spans="1:5" ht="13" x14ac:dyDescent="0.15">
      <c r="A228" s="2" t="s">
        <v>15</v>
      </c>
      <c r="B228" s="2">
        <v>56011</v>
      </c>
      <c r="C228" s="2" t="s">
        <v>52</v>
      </c>
      <c r="D228" s="2" t="s">
        <v>37</v>
      </c>
      <c r="E228" s="2" t="s">
        <v>57</v>
      </c>
    </row>
    <row r="229" spans="1:5" ht="13" x14ac:dyDescent="0.15">
      <c r="A229" s="2" t="s">
        <v>15</v>
      </c>
      <c r="B229" s="2">
        <v>52414</v>
      </c>
      <c r="C229" s="2" t="s">
        <v>52</v>
      </c>
      <c r="D229" s="2" t="s">
        <v>38</v>
      </c>
      <c r="E229" s="2" t="s">
        <v>57</v>
      </c>
    </row>
    <row r="230" spans="1:5" ht="13" x14ac:dyDescent="0.15">
      <c r="A230" s="2" t="s">
        <v>15</v>
      </c>
      <c r="B230" s="2">
        <v>50560</v>
      </c>
      <c r="C230" s="2" t="s">
        <v>53</v>
      </c>
      <c r="D230" s="2" t="s">
        <v>37</v>
      </c>
      <c r="E230" s="2" t="s">
        <v>57</v>
      </c>
    </row>
    <row r="231" spans="1:5" ht="13" x14ac:dyDescent="0.15">
      <c r="A231" s="2" t="s">
        <v>15</v>
      </c>
      <c r="B231" s="2">
        <v>50912</v>
      </c>
      <c r="C231" s="2" t="s">
        <v>53</v>
      </c>
      <c r="D231" s="2" t="s">
        <v>38</v>
      </c>
      <c r="E231" s="2" t="s">
        <v>57</v>
      </c>
    </row>
    <row r="232" spans="1:5" ht="13" x14ac:dyDescent="0.15">
      <c r="A232" s="2" t="s">
        <v>15</v>
      </c>
      <c r="B232" s="2">
        <v>45969</v>
      </c>
      <c r="C232" s="2" t="s">
        <v>54</v>
      </c>
      <c r="D232" s="2" t="s">
        <v>37</v>
      </c>
      <c r="E232" s="2" t="s">
        <v>57</v>
      </c>
    </row>
    <row r="233" spans="1:5" ht="13" x14ac:dyDescent="0.15">
      <c r="A233" s="2" t="s">
        <v>15</v>
      </c>
      <c r="B233" s="2">
        <v>47034</v>
      </c>
      <c r="C233" s="2" t="s">
        <v>54</v>
      </c>
      <c r="D233" s="2" t="s">
        <v>38</v>
      </c>
      <c r="E233" s="2" t="s">
        <v>57</v>
      </c>
    </row>
    <row r="234" spans="1:5" ht="13" x14ac:dyDescent="0.15">
      <c r="A234" s="2" t="s">
        <v>15</v>
      </c>
      <c r="B234" s="2">
        <v>41319</v>
      </c>
      <c r="C234" s="2" t="s">
        <v>55</v>
      </c>
      <c r="D234" s="2" t="s">
        <v>37</v>
      </c>
      <c r="E234" s="2" t="s">
        <v>57</v>
      </c>
    </row>
    <row r="235" spans="1:5" ht="13" x14ac:dyDescent="0.15">
      <c r="A235" s="2" t="s">
        <v>15</v>
      </c>
      <c r="B235" s="2">
        <v>42937</v>
      </c>
      <c r="C235" s="2" t="s">
        <v>55</v>
      </c>
      <c r="D235" s="2" t="s">
        <v>38</v>
      </c>
      <c r="E235" s="2" t="s">
        <v>57</v>
      </c>
    </row>
    <row r="236" spans="1:5" ht="13" x14ac:dyDescent="0.15">
      <c r="A236" s="2" t="s">
        <v>17</v>
      </c>
      <c r="B236" s="2">
        <v>42989</v>
      </c>
      <c r="C236" s="2" t="s">
        <v>42</v>
      </c>
      <c r="D236" s="2" t="s">
        <v>37</v>
      </c>
      <c r="E236" s="2" t="s">
        <v>43</v>
      </c>
    </row>
    <row r="237" spans="1:5" ht="13" x14ac:dyDescent="0.15">
      <c r="A237" s="2" t="s">
        <v>17</v>
      </c>
      <c r="B237" s="2">
        <v>40517</v>
      </c>
      <c r="C237" s="2" t="s">
        <v>42</v>
      </c>
      <c r="D237" s="2" t="s">
        <v>38</v>
      </c>
      <c r="E237" s="2" t="s">
        <v>43</v>
      </c>
    </row>
    <row r="238" spans="1:5" ht="13" x14ac:dyDescent="0.15">
      <c r="A238" s="2" t="s">
        <v>17</v>
      </c>
      <c r="B238" s="2">
        <v>40770</v>
      </c>
      <c r="C238" s="2" t="s">
        <v>44</v>
      </c>
      <c r="D238" s="2" t="s">
        <v>37</v>
      </c>
      <c r="E238" s="2" t="s">
        <v>43</v>
      </c>
    </row>
    <row r="239" spans="1:5" ht="13" x14ac:dyDescent="0.15">
      <c r="A239" s="2" t="s">
        <v>17</v>
      </c>
      <c r="B239" s="2">
        <v>37458</v>
      </c>
      <c r="C239" s="2" t="s">
        <v>44</v>
      </c>
      <c r="D239" s="2" t="s">
        <v>38</v>
      </c>
      <c r="E239" s="2" t="s">
        <v>43</v>
      </c>
    </row>
    <row r="240" spans="1:5" ht="13" x14ac:dyDescent="0.15">
      <c r="A240" s="2" t="s">
        <v>17</v>
      </c>
      <c r="B240" s="2">
        <v>33163</v>
      </c>
      <c r="C240" s="2" t="s">
        <v>45</v>
      </c>
      <c r="D240" s="2" t="s">
        <v>37</v>
      </c>
      <c r="E240" s="2" t="s">
        <v>43</v>
      </c>
    </row>
    <row r="241" spans="1:5" ht="13" x14ac:dyDescent="0.15">
      <c r="A241" s="2" t="s">
        <v>17</v>
      </c>
      <c r="B241" s="2">
        <v>29866</v>
      </c>
      <c r="C241" s="2" t="s">
        <v>45</v>
      </c>
      <c r="D241" s="2" t="s">
        <v>38</v>
      </c>
      <c r="E241" s="2" t="s">
        <v>43</v>
      </c>
    </row>
    <row r="242" spans="1:5" ht="13" x14ac:dyDescent="0.15">
      <c r="A242" s="2" t="s">
        <v>17</v>
      </c>
      <c r="B242" s="2">
        <v>36783</v>
      </c>
      <c r="C242" s="2" t="s">
        <v>46</v>
      </c>
      <c r="D242" s="2" t="s">
        <v>37</v>
      </c>
      <c r="E242" s="2" t="s">
        <v>43</v>
      </c>
    </row>
    <row r="243" spans="1:5" ht="13" x14ac:dyDescent="0.15">
      <c r="A243" s="2" t="s">
        <v>17</v>
      </c>
      <c r="B243" s="2">
        <v>34178</v>
      </c>
      <c r="C243" s="2" t="s">
        <v>46</v>
      </c>
      <c r="D243" s="2" t="s">
        <v>38</v>
      </c>
      <c r="E243" s="2" t="s">
        <v>43</v>
      </c>
    </row>
    <row r="244" spans="1:5" ht="13" x14ac:dyDescent="0.15">
      <c r="A244" s="2" t="s">
        <v>17</v>
      </c>
      <c r="B244" s="2">
        <v>39283</v>
      </c>
      <c r="C244" s="2" t="s">
        <v>47</v>
      </c>
      <c r="D244" s="2" t="s">
        <v>37</v>
      </c>
      <c r="E244" s="2" t="s">
        <v>43</v>
      </c>
    </row>
    <row r="245" spans="1:5" ht="13" x14ac:dyDescent="0.15">
      <c r="A245" s="2" t="s">
        <v>17</v>
      </c>
      <c r="B245" s="2">
        <v>36465</v>
      </c>
      <c r="C245" s="2" t="s">
        <v>47</v>
      </c>
      <c r="D245" s="2" t="s">
        <v>38</v>
      </c>
      <c r="E245" s="2" t="s">
        <v>43</v>
      </c>
    </row>
    <row r="246" spans="1:5" ht="13" x14ac:dyDescent="0.15">
      <c r="A246" s="2" t="s">
        <v>17</v>
      </c>
      <c r="B246" s="2">
        <v>40083</v>
      </c>
      <c r="C246" s="2" t="s">
        <v>48</v>
      </c>
      <c r="D246" s="2" t="s">
        <v>37</v>
      </c>
      <c r="E246" s="2" t="s">
        <v>43</v>
      </c>
    </row>
    <row r="247" spans="1:5" ht="13" x14ac:dyDescent="0.15">
      <c r="A247" s="2" t="s">
        <v>17</v>
      </c>
      <c r="B247" s="2">
        <v>37494</v>
      </c>
      <c r="C247" s="2" t="s">
        <v>48</v>
      </c>
      <c r="D247" s="2" t="s">
        <v>38</v>
      </c>
      <c r="E247" s="2" t="s">
        <v>43</v>
      </c>
    </row>
    <row r="248" spans="1:5" ht="13" x14ac:dyDescent="0.15">
      <c r="A248" s="2" t="s">
        <v>17</v>
      </c>
      <c r="B248" s="2">
        <v>39308</v>
      </c>
      <c r="C248" s="2" t="s">
        <v>49</v>
      </c>
      <c r="D248" s="2" t="s">
        <v>37</v>
      </c>
      <c r="E248" s="2" t="s">
        <v>43</v>
      </c>
    </row>
    <row r="249" spans="1:5" ht="13" x14ac:dyDescent="0.15">
      <c r="A249" s="2" t="s">
        <v>17</v>
      </c>
      <c r="B249" s="2">
        <v>36649</v>
      </c>
      <c r="C249" s="2" t="s">
        <v>49</v>
      </c>
      <c r="D249" s="2" t="s">
        <v>38</v>
      </c>
      <c r="E249" s="2" t="s">
        <v>43</v>
      </c>
    </row>
    <row r="250" spans="1:5" ht="13" x14ac:dyDescent="0.15">
      <c r="A250" s="2" t="s">
        <v>17</v>
      </c>
      <c r="B250" s="2">
        <v>40765</v>
      </c>
      <c r="C250" s="2" t="s">
        <v>50</v>
      </c>
      <c r="D250" s="2" t="s">
        <v>37</v>
      </c>
      <c r="E250" s="2" t="s">
        <v>43</v>
      </c>
    </row>
    <row r="251" spans="1:5" ht="13" x14ac:dyDescent="0.15">
      <c r="A251" s="2" t="s">
        <v>17</v>
      </c>
      <c r="B251" s="2">
        <v>37523</v>
      </c>
      <c r="C251" s="2" t="s">
        <v>50</v>
      </c>
      <c r="D251" s="2" t="s">
        <v>38</v>
      </c>
      <c r="E251" s="2" t="s">
        <v>43</v>
      </c>
    </row>
    <row r="252" spans="1:5" ht="13" x14ac:dyDescent="0.15">
      <c r="A252" s="2" t="s">
        <v>17</v>
      </c>
      <c r="B252" s="2">
        <v>35324</v>
      </c>
      <c r="C252" s="2" t="s">
        <v>51</v>
      </c>
      <c r="D252" s="2" t="s">
        <v>37</v>
      </c>
      <c r="E252" s="2" t="s">
        <v>43</v>
      </c>
    </row>
    <row r="253" spans="1:5" ht="13" x14ac:dyDescent="0.15">
      <c r="A253" s="2" t="s">
        <v>17</v>
      </c>
      <c r="B253" s="2">
        <v>34583</v>
      </c>
      <c r="C253" s="2" t="s">
        <v>51</v>
      </c>
      <c r="D253" s="2" t="s">
        <v>38</v>
      </c>
      <c r="E253" s="2" t="s">
        <v>43</v>
      </c>
    </row>
    <row r="254" spans="1:5" ht="13" x14ac:dyDescent="0.15">
      <c r="A254" s="2" t="s">
        <v>17</v>
      </c>
      <c r="B254" s="2">
        <v>30995</v>
      </c>
      <c r="C254" s="2" t="s">
        <v>52</v>
      </c>
      <c r="D254" s="2" t="s">
        <v>37</v>
      </c>
      <c r="E254" s="2" t="s">
        <v>43</v>
      </c>
    </row>
    <row r="255" spans="1:5" ht="13" x14ac:dyDescent="0.15">
      <c r="A255" s="2" t="s">
        <v>17</v>
      </c>
      <c r="B255" s="2">
        <v>31986</v>
      </c>
      <c r="C255" s="2" t="s">
        <v>52</v>
      </c>
      <c r="D255" s="2" t="s">
        <v>38</v>
      </c>
      <c r="E255" s="2" t="s">
        <v>43</v>
      </c>
    </row>
    <row r="256" spans="1:5" ht="13" x14ac:dyDescent="0.15">
      <c r="A256" s="2" t="s">
        <v>17</v>
      </c>
      <c r="B256" s="2">
        <v>28176</v>
      </c>
      <c r="C256" s="2" t="s">
        <v>53</v>
      </c>
      <c r="D256" s="2" t="s">
        <v>37</v>
      </c>
      <c r="E256" s="2" t="s">
        <v>43</v>
      </c>
    </row>
    <row r="257" spans="1:5" ht="13" x14ac:dyDescent="0.15">
      <c r="A257" s="2" t="s">
        <v>17</v>
      </c>
      <c r="B257" s="2">
        <v>29995</v>
      </c>
      <c r="C257" s="2" t="s">
        <v>53</v>
      </c>
      <c r="D257" s="2" t="s">
        <v>38</v>
      </c>
      <c r="E257" s="2" t="s">
        <v>43</v>
      </c>
    </row>
    <row r="258" spans="1:5" ht="13" x14ac:dyDescent="0.15">
      <c r="A258" s="2" t="s">
        <v>17</v>
      </c>
      <c r="B258" s="2">
        <v>25997</v>
      </c>
      <c r="C258" s="2" t="s">
        <v>54</v>
      </c>
      <c r="D258" s="2" t="s">
        <v>37</v>
      </c>
      <c r="E258" s="2" t="s">
        <v>43</v>
      </c>
    </row>
    <row r="259" spans="1:5" ht="13" x14ac:dyDescent="0.15">
      <c r="A259" s="2" t="s">
        <v>17</v>
      </c>
      <c r="B259" s="2">
        <v>28099</v>
      </c>
      <c r="C259" s="2" t="s">
        <v>54</v>
      </c>
      <c r="D259" s="2" t="s">
        <v>38</v>
      </c>
      <c r="E259" s="2" t="s">
        <v>43</v>
      </c>
    </row>
    <row r="260" spans="1:5" ht="13" x14ac:dyDescent="0.15">
      <c r="A260" s="2" t="s">
        <v>17</v>
      </c>
      <c r="B260" s="2">
        <v>22264</v>
      </c>
      <c r="C260" s="2" t="s">
        <v>55</v>
      </c>
      <c r="D260" s="2" t="s">
        <v>37</v>
      </c>
      <c r="E260" s="2" t="s">
        <v>43</v>
      </c>
    </row>
    <row r="261" spans="1:5" ht="13" x14ac:dyDescent="0.15">
      <c r="A261" s="2" t="s">
        <v>17</v>
      </c>
      <c r="B261" s="2">
        <v>25154</v>
      </c>
      <c r="C261" s="2" t="s">
        <v>55</v>
      </c>
      <c r="D261" s="2" t="s">
        <v>38</v>
      </c>
      <c r="E261" s="2" t="s">
        <v>43</v>
      </c>
    </row>
    <row r="262" spans="1:5" ht="13" x14ac:dyDescent="0.15">
      <c r="A262" s="2" t="s">
        <v>17</v>
      </c>
      <c r="B262" s="2">
        <v>33528</v>
      </c>
      <c r="C262" s="2" t="s">
        <v>42</v>
      </c>
      <c r="D262" s="2" t="s">
        <v>37</v>
      </c>
      <c r="E262" s="2" t="s">
        <v>56</v>
      </c>
    </row>
    <row r="263" spans="1:5" ht="13" x14ac:dyDescent="0.15">
      <c r="A263" s="2" t="s">
        <v>17</v>
      </c>
      <c r="B263" s="2">
        <v>29615</v>
      </c>
      <c r="C263" s="2" t="s">
        <v>42</v>
      </c>
      <c r="D263" s="2" t="s">
        <v>38</v>
      </c>
      <c r="E263" s="2" t="s">
        <v>56</v>
      </c>
    </row>
    <row r="264" spans="1:5" ht="13" x14ac:dyDescent="0.15">
      <c r="A264" s="2" t="s">
        <v>17</v>
      </c>
      <c r="B264" s="2">
        <v>43554</v>
      </c>
      <c r="C264" s="2" t="s">
        <v>44</v>
      </c>
      <c r="D264" s="2" t="s">
        <v>37</v>
      </c>
      <c r="E264" s="2" t="s">
        <v>56</v>
      </c>
    </row>
    <row r="265" spans="1:5" ht="13" x14ac:dyDescent="0.15">
      <c r="A265" s="2" t="s">
        <v>17</v>
      </c>
      <c r="B265" s="2">
        <v>40726</v>
      </c>
      <c r="C265" s="2" t="s">
        <v>44</v>
      </c>
      <c r="D265" s="2" t="s">
        <v>38</v>
      </c>
      <c r="E265" s="2" t="s">
        <v>56</v>
      </c>
    </row>
    <row r="266" spans="1:5" ht="13" x14ac:dyDescent="0.15">
      <c r="A266" s="2" t="s">
        <v>17</v>
      </c>
      <c r="B266" s="2">
        <v>40234</v>
      </c>
      <c r="C266" s="2" t="s">
        <v>45</v>
      </c>
      <c r="D266" s="2" t="s">
        <v>37</v>
      </c>
      <c r="E266" s="2" t="s">
        <v>56</v>
      </c>
    </row>
    <row r="267" spans="1:5" ht="13" x14ac:dyDescent="0.15">
      <c r="A267" s="2" t="s">
        <v>17</v>
      </c>
      <c r="B267" s="2">
        <v>37250</v>
      </c>
      <c r="C267" s="2" t="s">
        <v>45</v>
      </c>
      <c r="D267" s="2" t="s">
        <v>38</v>
      </c>
      <c r="E267" s="2" t="s">
        <v>56</v>
      </c>
    </row>
    <row r="268" spans="1:5" ht="13" x14ac:dyDescent="0.15">
      <c r="A268" s="2" t="s">
        <v>17</v>
      </c>
      <c r="B268" s="2">
        <v>33001</v>
      </c>
      <c r="C268" s="2" t="s">
        <v>46</v>
      </c>
      <c r="D268" s="2" t="s">
        <v>37</v>
      </c>
      <c r="E268" s="2" t="s">
        <v>56</v>
      </c>
    </row>
    <row r="269" spans="1:5" ht="13" x14ac:dyDescent="0.15">
      <c r="A269" s="2" t="s">
        <v>17</v>
      </c>
      <c r="B269" s="2">
        <v>29874</v>
      </c>
      <c r="C269" s="2" t="s">
        <v>46</v>
      </c>
      <c r="D269" s="2" t="s">
        <v>38</v>
      </c>
      <c r="E269" s="2" t="s">
        <v>56</v>
      </c>
    </row>
    <row r="270" spans="1:5" ht="13" x14ac:dyDescent="0.15">
      <c r="A270" s="2" t="s">
        <v>17</v>
      </c>
      <c r="B270" s="2">
        <v>36516</v>
      </c>
      <c r="C270" s="2" t="s">
        <v>47</v>
      </c>
      <c r="D270" s="2" t="s">
        <v>37</v>
      </c>
      <c r="E270" s="2" t="s">
        <v>56</v>
      </c>
    </row>
    <row r="271" spans="1:5" ht="13" x14ac:dyDescent="0.15">
      <c r="A271" s="2" t="s">
        <v>17</v>
      </c>
      <c r="B271" s="2">
        <v>34112</v>
      </c>
      <c r="C271" s="2" t="s">
        <v>47</v>
      </c>
      <c r="D271" s="2" t="s">
        <v>38</v>
      </c>
      <c r="E271" s="2" t="s">
        <v>56</v>
      </c>
    </row>
    <row r="272" spans="1:5" ht="13" x14ac:dyDescent="0.15">
      <c r="A272" s="2" t="s">
        <v>17</v>
      </c>
      <c r="B272" s="2">
        <v>38913</v>
      </c>
      <c r="C272" s="2" t="s">
        <v>48</v>
      </c>
      <c r="D272" s="2" t="s">
        <v>37</v>
      </c>
      <c r="E272" s="2" t="s">
        <v>56</v>
      </c>
    </row>
    <row r="273" spans="1:5" ht="13" x14ac:dyDescent="0.15">
      <c r="A273" s="2" t="s">
        <v>17</v>
      </c>
      <c r="B273" s="2">
        <v>36381</v>
      </c>
      <c r="C273" s="2" t="s">
        <v>48</v>
      </c>
      <c r="D273" s="2" t="s">
        <v>38</v>
      </c>
      <c r="E273" s="2" t="s">
        <v>56</v>
      </c>
    </row>
    <row r="274" spans="1:5" ht="13" x14ac:dyDescent="0.15">
      <c r="A274" s="2" t="s">
        <v>17</v>
      </c>
      <c r="B274" s="2">
        <v>39466</v>
      </c>
      <c r="C274" s="2" t="s">
        <v>49</v>
      </c>
      <c r="D274" s="2" t="s">
        <v>37</v>
      </c>
      <c r="E274" s="2" t="s">
        <v>56</v>
      </c>
    </row>
    <row r="275" spans="1:5" ht="13" x14ac:dyDescent="0.15">
      <c r="A275" s="2" t="s">
        <v>17</v>
      </c>
      <c r="B275" s="2">
        <v>37379</v>
      </c>
      <c r="C275" s="2" t="s">
        <v>49</v>
      </c>
      <c r="D275" s="2" t="s">
        <v>38</v>
      </c>
      <c r="E275" s="2" t="s">
        <v>56</v>
      </c>
    </row>
    <row r="276" spans="1:5" ht="13" x14ac:dyDescent="0.15">
      <c r="A276" s="2" t="s">
        <v>17</v>
      </c>
      <c r="B276" s="2">
        <v>39050</v>
      </c>
      <c r="C276" s="2" t="s">
        <v>50</v>
      </c>
      <c r="D276" s="2" t="s">
        <v>37</v>
      </c>
      <c r="E276" s="2" t="s">
        <v>56</v>
      </c>
    </row>
    <row r="277" spans="1:5" ht="13" x14ac:dyDescent="0.15">
      <c r="A277" s="2" t="s">
        <v>17</v>
      </c>
      <c r="B277" s="2">
        <v>36036</v>
      </c>
      <c r="C277" s="2" t="s">
        <v>50</v>
      </c>
      <c r="D277" s="2" t="s">
        <v>38</v>
      </c>
      <c r="E277" s="2" t="s">
        <v>56</v>
      </c>
    </row>
    <row r="278" spans="1:5" ht="13" x14ac:dyDescent="0.15">
      <c r="A278" s="2" t="s">
        <v>17</v>
      </c>
      <c r="B278" s="2">
        <v>38039</v>
      </c>
      <c r="C278" s="2" t="s">
        <v>51</v>
      </c>
      <c r="D278" s="2" t="s">
        <v>37</v>
      </c>
      <c r="E278" s="2" t="s">
        <v>56</v>
      </c>
    </row>
    <row r="279" spans="1:5" ht="13" x14ac:dyDescent="0.15">
      <c r="A279" s="2" t="s">
        <v>17</v>
      </c>
      <c r="B279" s="2">
        <v>36707</v>
      </c>
      <c r="C279" s="2" t="s">
        <v>51</v>
      </c>
      <c r="D279" s="2" t="s">
        <v>38</v>
      </c>
      <c r="E279" s="2" t="s">
        <v>56</v>
      </c>
    </row>
    <row r="280" spans="1:5" ht="13" x14ac:dyDescent="0.15">
      <c r="A280" s="2" t="s">
        <v>17</v>
      </c>
      <c r="B280" s="2">
        <v>33377</v>
      </c>
      <c r="C280" s="2" t="s">
        <v>52</v>
      </c>
      <c r="D280" s="2" t="s">
        <v>37</v>
      </c>
      <c r="E280" s="2" t="s">
        <v>56</v>
      </c>
    </row>
    <row r="281" spans="1:5" ht="13" x14ac:dyDescent="0.15">
      <c r="A281" s="2" t="s">
        <v>17</v>
      </c>
      <c r="B281" s="2">
        <v>33678</v>
      </c>
      <c r="C281" s="2" t="s">
        <v>52</v>
      </c>
      <c r="D281" s="2" t="s">
        <v>38</v>
      </c>
      <c r="E281" s="2" t="s">
        <v>56</v>
      </c>
    </row>
    <row r="282" spans="1:5" ht="13" x14ac:dyDescent="0.15">
      <c r="A282" s="2" t="s">
        <v>17</v>
      </c>
      <c r="B282" s="2">
        <v>29176</v>
      </c>
      <c r="C282" s="2" t="s">
        <v>53</v>
      </c>
      <c r="D282" s="2" t="s">
        <v>37</v>
      </c>
      <c r="E282" s="2" t="s">
        <v>56</v>
      </c>
    </row>
    <row r="283" spans="1:5" ht="13" x14ac:dyDescent="0.15">
      <c r="A283" s="2" t="s">
        <v>17</v>
      </c>
      <c r="B283" s="2">
        <v>30962</v>
      </c>
      <c r="C283" s="2" t="s">
        <v>53</v>
      </c>
      <c r="D283" s="2" t="s">
        <v>38</v>
      </c>
      <c r="E283" s="2" t="s">
        <v>56</v>
      </c>
    </row>
    <row r="284" spans="1:5" ht="13" x14ac:dyDescent="0.15">
      <c r="A284" s="2" t="s">
        <v>17</v>
      </c>
      <c r="B284" s="2">
        <v>27532</v>
      </c>
      <c r="C284" s="2" t="s">
        <v>54</v>
      </c>
      <c r="D284" s="2" t="s">
        <v>37</v>
      </c>
      <c r="E284" s="2" t="s">
        <v>56</v>
      </c>
    </row>
    <row r="285" spans="1:5" ht="13" x14ac:dyDescent="0.15">
      <c r="A285" s="2" t="s">
        <v>17</v>
      </c>
      <c r="B285" s="2">
        <v>29140</v>
      </c>
      <c r="C285" s="2" t="s">
        <v>54</v>
      </c>
      <c r="D285" s="2" t="s">
        <v>38</v>
      </c>
      <c r="E285" s="2" t="s">
        <v>56</v>
      </c>
    </row>
    <row r="286" spans="1:5" ht="13" x14ac:dyDescent="0.15">
      <c r="A286" s="2" t="s">
        <v>17</v>
      </c>
      <c r="B286" s="2">
        <v>24093</v>
      </c>
      <c r="C286" s="2" t="s">
        <v>55</v>
      </c>
      <c r="D286" s="2" t="s">
        <v>37</v>
      </c>
      <c r="E286" s="2" t="s">
        <v>56</v>
      </c>
    </row>
    <row r="287" spans="1:5" ht="13" x14ac:dyDescent="0.15">
      <c r="A287" s="2" t="s">
        <v>17</v>
      </c>
      <c r="B287" s="2">
        <v>26664</v>
      </c>
      <c r="C287" s="2" t="s">
        <v>55</v>
      </c>
      <c r="D287" s="2" t="s">
        <v>38</v>
      </c>
      <c r="E287" s="2" t="s">
        <v>56</v>
      </c>
    </row>
    <row r="288" spans="1:5" ht="13" x14ac:dyDescent="0.15">
      <c r="A288" s="2" t="s">
        <v>17</v>
      </c>
      <c r="B288" s="2">
        <v>39083</v>
      </c>
      <c r="C288" s="2" t="s">
        <v>42</v>
      </c>
      <c r="D288" s="2" t="s">
        <v>37</v>
      </c>
      <c r="E288" s="2" t="s">
        <v>57</v>
      </c>
    </row>
    <row r="289" spans="1:5" ht="13" x14ac:dyDescent="0.15">
      <c r="A289" s="2" t="s">
        <v>17</v>
      </c>
      <c r="B289" s="2">
        <v>36163</v>
      </c>
      <c r="C289" s="2" t="s">
        <v>42</v>
      </c>
      <c r="D289" s="2" t="s">
        <v>38</v>
      </c>
      <c r="E289" s="2" t="s">
        <v>57</v>
      </c>
    </row>
    <row r="290" spans="1:5" ht="13" x14ac:dyDescent="0.15">
      <c r="A290" s="2" t="s">
        <v>17</v>
      </c>
      <c r="B290" s="2">
        <v>34871</v>
      </c>
      <c r="C290" s="2" t="s">
        <v>44</v>
      </c>
      <c r="D290" s="2" t="s">
        <v>37</v>
      </c>
      <c r="E290" s="2" t="s">
        <v>57</v>
      </c>
    </row>
    <row r="291" spans="1:5" ht="13" x14ac:dyDescent="0.15">
      <c r="A291" s="2" t="s">
        <v>17</v>
      </c>
      <c r="B291" s="2">
        <v>30197</v>
      </c>
      <c r="C291" s="2" t="s">
        <v>44</v>
      </c>
      <c r="D291" s="2" t="s">
        <v>38</v>
      </c>
      <c r="E291" s="2" t="s">
        <v>57</v>
      </c>
    </row>
    <row r="292" spans="1:5" ht="13" x14ac:dyDescent="0.15">
      <c r="A292" s="2" t="s">
        <v>17</v>
      </c>
      <c r="B292" s="2">
        <v>42670</v>
      </c>
      <c r="C292" s="2" t="s">
        <v>45</v>
      </c>
      <c r="D292" s="2" t="s">
        <v>37</v>
      </c>
      <c r="E292" s="2" t="s">
        <v>57</v>
      </c>
    </row>
    <row r="293" spans="1:5" ht="13" x14ac:dyDescent="0.15">
      <c r="A293" s="2" t="s">
        <v>17</v>
      </c>
      <c r="B293" s="2">
        <v>40311</v>
      </c>
      <c r="C293" s="2" t="s">
        <v>45</v>
      </c>
      <c r="D293" s="2" t="s">
        <v>38</v>
      </c>
      <c r="E293" s="2" t="s">
        <v>57</v>
      </c>
    </row>
    <row r="294" spans="1:5" ht="13" x14ac:dyDescent="0.15">
      <c r="A294" s="2" t="s">
        <v>17</v>
      </c>
      <c r="B294" s="2">
        <v>40021</v>
      </c>
      <c r="C294" s="2" t="s">
        <v>46</v>
      </c>
      <c r="D294" s="2" t="s">
        <v>37</v>
      </c>
      <c r="E294" s="2" t="s">
        <v>57</v>
      </c>
    </row>
    <row r="295" spans="1:5" ht="13" x14ac:dyDescent="0.15">
      <c r="A295" s="2" t="s">
        <v>17</v>
      </c>
      <c r="B295" s="2">
        <v>37160</v>
      </c>
      <c r="C295" s="2" t="s">
        <v>46</v>
      </c>
      <c r="D295" s="2" t="s">
        <v>38</v>
      </c>
      <c r="E295" s="2" t="s">
        <v>57</v>
      </c>
    </row>
    <row r="296" spans="1:5" ht="13" x14ac:dyDescent="0.15">
      <c r="A296" s="2" t="s">
        <v>17</v>
      </c>
      <c r="B296" s="2">
        <v>32833</v>
      </c>
      <c r="C296" s="2" t="s">
        <v>47</v>
      </c>
      <c r="D296" s="2" t="s">
        <v>37</v>
      </c>
      <c r="E296" s="2" t="s">
        <v>57</v>
      </c>
    </row>
    <row r="297" spans="1:5" ht="13" x14ac:dyDescent="0.15">
      <c r="A297" s="2" t="s">
        <v>17</v>
      </c>
      <c r="B297" s="2">
        <v>29856</v>
      </c>
      <c r="C297" s="2" t="s">
        <v>47</v>
      </c>
      <c r="D297" s="2" t="s">
        <v>38</v>
      </c>
      <c r="E297" s="2" t="s">
        <v>57</v>
      </c>
    </row>
    <row r="298" spans="1:5" ht="13" x14ac:dyDescent="0.15">
      <c r="A298" s="2" t="s">
        <v>17</v>
      </c>
      <c r="B298" s="2">
        <v>36342</v>
      </c>
      <c r="C298" s="2" t="s">
        <v>48</v>
      </c>
      <c r="D298" s="2" t="s">
        <v>37</v>
      </c>
      <c r="E298" s="2" t="s">
        <v>57</v>
      </c>
    </row>
    <row r="299" spans="1:5" ht="13" x14ac:dyDescent="0.15">
      <c r="A299" s="2" t="s">
        <v>17</v>
      </c>
      <c r="B299" s="2">
        <v>34025</v>
      </c>
      <c r="C299" s="2" t="s">
        <v>48</v>
      </c>
      <c r="D299" s="2" t="s">
        <v>38</v>
      </c>
      <c r="E299" s="2" t="s">
        <v>57</v>
      </c>
    </row>
    <row r="300" spans="1:5" ht="13" x14ac:dyDescent="0.15">
      <c r="A300" s="2" t="s">
        <v>17</v>
      </c>
      <c r="B300" s="2">
        <v>38537</v>
      </c>
      <c r="C300" s="2" t="s">
        <v>49</v>
      </c>
      <c r="D300" s="2" t="s">
        <v>37</v>
      </c>
      <c r="E300" s="2" t="s">
        <v>57</v>
      </c>
    </row>
    <row r="301" spans="1:5" ht="13" x14ac:dyDescent="0.15">
      <c r="A301" s="2" t="s">
        <v>17</v>
      </c>
      <c r="B301" s="2">
        <v>36250</v>
      </c>
      <c r="C301" s="2" t="s">
        <v>49</v>
      </c>
      <c r="D301" s="2" t="s">
        <v>38</v>
      </c>
      <c r="E301" s="2" t="s">
        <v>57</v>
      </c>
    </row>
    <row r="302" spans="1:5" ht="13" x14ac:dyDescent="0.15">
      <c r="A302" s="2" t="s">
        <v>17</v>
      </c>
      <c r="B302" s="2">
        <v>39534</v>
      </c>
      <c r="C302" s="2" t="s">
        <v>50</v>
      </c>
      <c r="D302" s="2" t="s">
        <v>37</v>
      </c>
      <c r="E302" s="2" t="s">
        <v>57</v>
      </c>
    </row>
    <row r="303" spans="1:5" ht="13" x14ac:dyDescent="0.15">
      <c r="A303" s="2" t="s">
        <v>17</v>
      </c>
      <c r="B303" s="2">
        <v>36985</v>
      </c>
      <c r="C303" s="2" t="s">
        <v>50</v>
      </c>
      <c r="D303" s="2" t="s">
        <v>38</v>
      </c>
      <c r="E303" s="2" t="s">
        <v>57</v>
      </c>
    </row>
    <row r="304" spans="1:5" ht="13" x14ac:dyDescent="0.15">
      <c r="A304" s="2" t="s">
        <v>17</v>
      </c>
      <c r="B304" s="2">
        <v>38132</v>
      </c>
      <c r="C304" s="2" t="s">
        <v>51</v>
      </c>
      <c r="D304" s="2" t="s">
        <v>37</v>
      </c>
      <c r="E304" s="2" t="s">
        <v>57</v>
      </c>
    </row>
    <row r="305" spans="1:5" ht="13" x14ac:dyDescent="0.15">
      <c r="A305" s="2" t="s">
        <v>17</v>
      </c>
      <c r="B305" s="2">
        <v>35942</v>
      </c>
      <c r="C305" s="2" t="s">
        <v>51</v>
      </c>
      <c r="D305" s="2" t="s">
        <v>38</v>
      </c>
      <c r="E305" s="2" t="s">
        <v>57</v>
      </c>
    </row>
    <row r="306" spans="1:5" ht="13" x14ac:dyDescent="0.15">
      <c r="A306" s="2" t="s">
        <v>17</v>
      </c>
      <c r="B306" s="2">
        <v>36992</v>
      </c>
      <c r="C306" s="2" t="s">
        <v>52</v>
      </c>
      <c r="D306" s="2" t="s">
        <v>37</v>
      </c>
      <c r="E306" s="2" t="s">
        <v>57</v>
      </c>
    </row>
    <row r="307" spans="1:5" ht="13" x14ac:dyDescent="0.15">
      <c r="A307" s="2" t="s">
        <v>17</v>
      </c>
      <c r="B307" s="2">
        <v>36483</v>
      </c>
      <c r="C307" s="2" t="s">
        <v>52</v>
      </c>
      <c r="D307" s="2" t="s">
        <v>38</v>
      </c>
      <c r="E307" s="2" t="s">
        <v>57</v>
      </c>
    </row>
    <row r="308" spans="1:5" ht="13" x14ac:dyDescent="0.15">
      <c r="A308" s="2" t="s">
        <v>17</v>
      </c>
      <c r="B308" s="2">
        <v>32330</v>
      </c>
      <c r="C308" s="2" t="s">
        <v>53</v>
      </c>
      <c r="D308" s="2" t="s">
        <v>37</v>
      </c>
      <c r="E308" s="2" t="s">
        <v>57</v>
      </c>
    </row>
    <row r="309" spans="1:5" ht="13" x14ac:dyDescent="0.15">
      <c r="A309" s="2" t="s">
        <v>17</v>
      </c>
      <c r="B309" s="2">
        <v>33427</v>
      </c>
      <c r="C309" s="2" t="s">
        <v>53</v>
      </c>
      <c r="D309" s="2" t="s">
        <v>38</v>
      </c>
      <c r="E309" s="2" t="s">
        <v>57</v>
      </c>
    </row>
    <row r="310" spans="1:5" ht="13" x14ac:dyDescent="0.15">
      <c r="A310" s="2" t="s">
        <v>17</v>
      </c>
      <c r="B310" s="2">
        <v>29446</v>
      </c>
      <c r="C310" s="2" t="s">
        <v>54</v>
      </c>
      <c r="D310" s="2" t="s">
        <v>37</v>
      </c>
      <c r="E310" s="2" t="s">
        <v>57</v>
      </c>
    </row>
    <row r="311" spans="1:5" ht="13" x14ac:dyDescent="0.15">
      <c r="A311" s="2" t="s">
        <v>17</v>
      </c>
      <c r="B311" s="2">
        <v>31485</v>
      </c>
      <c r="C311" s="2" t="s">
        <v>54</v>
      </c>
      <c r="D311" s="2" t="s">
        <v>38</v>
      </c>
      <c r="E311" s="2" t="s">
        <v>57</v>
      </c>
    </row>
    <row r="312" spans="1:5" ht="13" x14ac:dyDescent="0.15">
      <c r="A312" s="2" t="s">
        <v>17</v>
      </c>
      <c r="B312" s="2">
        <v>25836</v>
      </c>
      <c r="C312" s="2" t="s">
        <v>55</v>
      </c>
      <c r="D312" s="2" t="s">
        <v>37</v>
      </c>
      <c r="E312" s="2" t="s">
        <v>57</v>
      </c>
    </row>
    <row r="313" spans="1:5" ht="13" x14ac:dyDescent="0.15">
      <c r="A313" s="2" t="s">
        <v>17</v>
      </c>
      <c r="B313" s="2">
        <v>28411</v>
      </c>
      <c r="C313" s="2" t="s">
        <v>55</v>
      </c>
      <c r="D313" s="2" t="s">
        <v>38</v>
      </c>
      <c r="E313" s="2" t="s">
        <v>57</v>
      </c>
    </row>
    <row r="314" spans="1:5" ht="13" x14ac:dyDescent="0.15">
      <c r="A314" s="2" t="s">
        <v>18</v>
      </c>
      <c r="B314" s="2">
        <v>135584</v>
      </c>
      <c r="C314" s="2" t="s">
        <v>42</v>
      </c>
      <c r="D314" s="2" t="s">
        <v>37</v>
      </c>
      <c r="E314" s="2" t="s">
        <v>43</v>
      </c>
    </row>
    <row r="315" spans="1:5" ht="13" x14ac:dyDescent="0.15">
      <c r="A315" s="2" t="s">
        <v>18</v>
      </c>
      <c r="B315" s="2">
        <v>128086</v>
      </c>
      <c r="C315" s="2" t="s">
        <v>42</v>
      </c>
      <c r="D315" s="2" t="s">
        <v>38</v>
      </c>
      <c r="E315" s="2" t="s">
        <v>43</v>
      </c>
    </row>
    <row r="316" spans="1:5" ht="13" x14ac:dyDescent="0.15">
      <c r="A316" s="2" t="s">
        <v>18</v>
      </c>
      <c r="B316" s="2">
        <v>130876</v>
      </c>
      <c r="C316" s="2" t="s">
        <v>44</v>
      </c>
      <c r="D316" s="2" t="s">
        <v>37</v>
      </c>
      <c r="E316" s="2" t="s">
        <v>43</v>
      </c>
    </row>
    <row r="317" spans="1:5" ht="13" x14ac:dyDescent="0.15">
      <c r="A317" s="2" t="s">
        <v>18</v>
      </c>
      <c r="B317" s="2">
        <v>119485</v>
      </c>
      <c r="C317" s="2" t="s">
        <v>44</v>
      </c>
      <c r="D317" s="2" t="s">
        <v>38</v>
      </c>
      <c r="E317" s="2" t="s">
        <v>43</v>
      </c>
    </row>
    <row r="318" spans="1:5" ht="13" x14ac:dyDescent="0.15">
      <c r="A318" s="2" t="s">
        <v>18</v>
      </c>
      <c r="B318" s="2">
        <v>106671</v>
      </c>
      <c r="C318" s="2" t="s">
        <v>45</v>
      </c>
      <c r="D318" s="2" t="s">
        <v>37</v>
      </c>
      <c r="E318" s="2" t="s">
        <v>43</v>
      </c>
    </row>
    <row r="319" spans="1:5" ht="13" x14ac:dyDescent="0.15">
      <c r="A319" s="2" t="s">
        <v>18</v>
      </c>
      <c r="B319" s="2">
        <v>96453</v>
      </c>
      <c r="C319" s="2" t="s">
        <v>45</v>
      </c>
      <c r="D319" s="2" t="s">
        <v>38</v>
      </c>
      <c r="E319" s="2" t="s">
        <v>43</v>
      </c>
    </row>
    <row r="320" spans="1:5" ht="13" x14ac:dyDescent="0.15">
      <c r="A320" s="2" t="s">
        <v>18</v>
      </c>
      <c r="B320" s="2">
        <v>116300</v>
      </c>
      <c r="C320" s="2" t="s">
        <v>46</v>
      </c>
      <c r="D320" s="2" t="s">
        <v>37</v>
      </c>
      <c r="E320" s="2" t="s">
        <v>43</v>
      </c>
    </row>
    <row r="321" spans="1:5" ht="13" x14ac:dyDescent="0.15">
      <c r="A321" s="2" t="s">
        <v>18</v>
      </c>
      <c r="B321" s="2">
        <v>108356</v>
      </c>
      <c r="C321" s="2" t="s">
        <v>46</v>
      </c>
      <c r="D321" s="2" t="s">
        <v>38</v>
      </c>
      <c r="E321" s="2" t="s">
        <v>43</v>
      </c>
    </row>
    <row r="322" spans="1:5" ht="13" x14ac:dyDescent="0.15">
      <c r="A322" s="2" t="s">
        <v>18</v>
      </c>
      <c r="B322" s="2">
        <v>122237</v>
      </c>
      <c r="C322" s="2" t="s">
        <v>47</v>
      </c>
      <c r="D322" s="2" t="s">
        <v>37</v>
      </c>
      <c r="E322" s="2" t="s">
        <v>43</v>
      </c>
    </row>
    <row r="323" spans="1:5" ht="13" x14ac:dyDescent="0.15">
      <c r="A323" s="2" t="s">
        <v>18</v>
      </c>
      <c r="B323" s="2">
        <v>113848</v>
      </c>
      <c r="C323" s="2" t="s">
        <v>47</v>
      </c>
      <c r="D323" s="2" t="s">
        <v>38</v>
      </c>
      <c r="E323" s="2" t="s">
        <v>43</v>
      </c>
    </row>
    <row r="324" spans="1:5" ht="13" x14ac:dyDescent="0.15">
      <c r="A324" s="2" t="s">
        <v>18</v>
      </c>
      <c r="B324" s="2">
        <v>129408</v>
      </c>
      <c r="C324" s="2" t="s">
        <v>48</v>
      </c>
      <c r="D324" s="2" t="s">
        <v>37</v>
      </c>
      <c r="E324" s="2" t="s">
        <v>43</v>
      </c>
    </row>
    <row r="325" spans="1:5" ht="13" x14ac:dyDescent="0.15">
      <c r="A325" s="2" t="s">
        <v>18</v>
      </c>
      <c r="B325" s="2">
        <v>121314</v>
      </c>
      <c r="C325" s="2" t="s">
        <v>48</v>
      </c>
      <c r="D325" s="2" t="s">
        <v>38</v>
      </c>
      <c r="E325" s="2" t="s">
        <v>43</v>
      </c>
    </row>
    <row r="326" spans="1:5" ht="13" x14ac:dyDescent="0.15">
      <c r="A326" s="2" t="s">
        <v>18</v>
      </c>
      <c r="B326" s="2">
        <v>128479</v>
      </c>
      <c r="C326" s="2" t="s">
        <v>49</v>
      </c>
      <c r="D326" s="2" t="s">
        <v>37</v>
      </c>
      <c r="E326" s="2" t="s">
        <v>43</v>
      </c>
    </row>
    <row r="327" spans="1:5" ht="13" x14ac:dyDescent="0.15">
      <c r="A327" s="2" t="s">
        <v>18</v>
      </c>
      <c r="B327" s="2">
        <v>119709</v>
      </c>
      <c r="C327" s="2" t="s">
        <v>49</v>
      </c>
      <c r="D327" s="2" t="s">
        <v>38</v>
      </c>
      <c r="E327" s="2" t="s">
        <v>43</v>
      </c>
    </row>
    <row r="328" spans="1:5" ht="13" x14ac:dyDescent="0.15">
      <c r="A328" s="2" t="s">
        <v>18</v>
      </c>
      <c r="B328" s="2">
        <v>130003</v>
      </c>
      <c r="C328" s="2" t="s">
        <v>50</v>
      </c>
      <c r="D328" s="2" t="s">
        <v>37</v>
      </c>
      <c r="E328" s="2" t="s">
        <v>43</v>
      </c>
    </row>
    <row r="329" spans="1:5" ht="13" x14ac:dyDescent="0.15">
      <c r="A329" s="2" t="s">
        <v>18</v>
      </c>
      <c r="B329" s="2">
        <v>121132</v>
      </c>
      <c r="C329" s="2" t="s">
        <v>50</v>
      </c>
      <c r="D329" s="2" t="s">
        <v>38</v>
      </c>
      <c r="E329" s="2" t="s">
        <v>43</v>
      </c>
    </row>
    <row r="330" spans="1:5" ht="13" x14ac:dyDescent="0.15">
      <c r="A330" s="2" t="s">
        <v>18</v>
      </c>
      <c r="B330" s="2">
        <v>116914</v>
      </c>
      <c r="C330" s="2" t="s">
        <v>51</v>
      </c>
      <c r="D330" s="2" t="s">
        <v>37</v>
      </c>
      <c r="E330" s="2" t="s">
        <v>43</v>
      </c>
    </row>
    <row r="331" spans="1:5" ht="13" x14ac:dyDescent="0.15">
      <c r="A331" s="2" t="s">
        <v>18</v>
      </c>
      <c r="B331" s="2">
        <v>114183</v>
      </c>
      <c r="C331" s="2" t="s">
        <v>51</v>
      </c>
      <c r="D331" s="2" t="s">
        <v>38</v>
      </c>
      <c r="E331" s="2" t="s">
        <v>43</v>
      </c>
    </row>
    <row r="332" spans="1:5" ht="13" x14ac:dyDescent="0.15">
      <c r="A332" s="2" t="s">
        <v>18</v>
      </c>
      <c r="B332" s="2">
        <v>105507</v>
      </c>
      <c r="C332" s="2" t="s">
        <v>52</v>
      </c>
      <c r="D332" s="2" t="s">
        <v>37</v>
      </c>
      <c r="E332" s="2" t="s">
        <v>43</v>
      </c>
    </row>
    <row r="333" spans="1:5" ht="13" x14ac:dyDescent="0.15">
      <c r="A333" s="2" t="s">
        <v>18</v>
      </c>
      <c r="B333" s="2">
        <v>107297</v>
      </c>
      <c r="C333" s="2" t="s">
        <v>52</v>
      </c>
      <c r="D333" s="2" t="s">
        <v>38</v>
      </c>
      <c r="E333" s="2" t="s">
        <v>43</v>
      </c>
    </row>
    <row r="334" spans="1:5" ht="13" x14ac:dyDescent="0.15">
      <c r="A334" s="2" t="s">
        <v>18</v>
      </c>
      <c r="B334" s="2">
        <v>96547</v>
      </c>
      <c r="C334" s="2" t="s">
        <v>53</v>
      </c>
      <c r="D334" s="2" t="s">
        <v>37</v>
      </c>
      <c r="E334" s="2" t="s">
        <v>43</v>
      </c>
    </row>
    <row r="335" spans="1:5" ht="13" x14ac:dyDescent="0.15">
      <c r="A335" s="2" t="s">
        <v>18</v>
      </c>
      <c r="B335" s="2">
        <v>100670</v>
      </c>
      <c r="C335" s="2" t="s">
        <v>53</v>
      </c>
      <c r="D335" s="2" t="s">
        <v>38</v>
      </c>
      <c r="E335" s="2" t="s">
        <v>43</v>
      </c>
    </row>
    <row r="336" spans="1:5" ht="13" x14ac:dyDescent="0.15">
      <c r="A336" s="2" t="s">
        <v>18</v>
      </c>
      <c r="B336" s="2">
        <v>90438</v>
      </c>
      <c r="C336" s="2" t="s">
        <v>54</v>
      </c>
      <c r="D336" s="2" t="s">
        <v>37</v>
      </c>
      <c r="E336" s="2" t="s">
        <v>43</v>
      </c>
    </row>
    <row r="337" spans="1:5" ht="13" x14ac:dyDescent="0.15">
      <c r="A337" s="2" t="s">
        <v>18</v>
      </c>
      <c r="B337" s="2">
        <v>92950</v>
      </c>
      <c r="C337" s="2" t="s">
        <v>54</v>
      </c>
      <c r="D337" s="2" t="s">
        <v>38</v>
      </c>
      <c r="E337" s="2" t="s">
        <v>43</v>
      </c>
    </row>
    <row r="338" spans="1:5" ht="13" x14ac:dyDescent="0.15">
      <c r="A338" s="2" t="s">
        <v>18</v>
      </c>
      <c r="B338" s="2">
        <v>77399</v>
      </c>
      <c r="C338" s="2" t="s">
        <v>55</v>
      </c>
      <c r="D338" s="2" t="s">
        <v>37</v>
      </c>
      <c r="E338" s="2" t="s">
        <v>43</v>
      </c>
    </row>
    <row r="339" spans="1:5" ht="13" x14ac:dyDescent="0.15">
      <c r="A339" s="2" t="s">
        <v>18</v>
      </c>
      <c r="B339" s="2">
        <v>83207</v>
      </c>
      <c r="C339" s="2" t="s">
        <v>55</v>
      </c>
      <c r="D339" s="2" t="s">
        <v>38</v>
      </c>
      <c r="E339" s="2" t="s">
        <v>43</v>
      </c>
    </row>
    <row r="340" spans="1:5" ht="13" x14ac:dyDescent="0.15">
      <c r="A340" s="2" t="s">
        <v>18</v>
      </c>
      <c r="B340" s="2">
        <v>111763</v>
      </c>
      <c r="C340" s="2" t="s">
        <v>42</v>
      </c>
      <c r="D340" s="2" t="s">
        <v>37</v>
      </c>
      <c r="E340" s="2" t="s">
        <v>56</v>
      </c>
    </row>
    <row r="341" spans="1:5" ht="13" x14ac:dyDescent="0.15">
      <c r="A341" s="2" t="s">
        <v>18</v>
      </c>
      <c r="B341" s="2">
        <v>99093</v>
      </c>
      <c r="C341" s="2" t="s">
        <v>42</v>
      </c>
      <c r="D341" s="2" t="s">
        <v>38</v>
      </c>
      <c r="E341" s="2" t="s">
        <v>56</v>
      </c>
    </row>
    <row r="342" spans="1:5" ht="13" x14ac:dyDescent="0.15">
      <c r="A342" s="2" t="s">
        <v>18</v>
      </c>
      <c r="B342" s="2">
        <v>137722</v>
      </c>
      <c r="C342" s="2" t="s">
        <v>44</v>
      </c>
      <c r="D342" s="2" t="s">
        <v>37</v>
      </c>
      <c r="E342" s="2" t="s">
        <v>56</v>
      </c>
    </row>
    <row r="343" spans="1:5" ht="13" x14ac:dyDescent="0.15">
      <c r="A343" s="2" t="s">
        <v>18</v>
      </c>
      <c r="B343" s="2">
        <v>129045</v>
      </c>
      <c r="C343" s="2" t="s">
        <v>44</v>
      </c>
      <c r="D343" s="2" t="s">
        <v>38</v>
      </c>
      <c r="E343" s="2" t="s">
        <v>56</v>
      </c>
    </row>
    <row r="344" spans="1:5" ht="13" x14ac:dyDescent="0.15">
      <c r="A344" s="2" t="s">
        <v>18</v>
      </c>
      <c r="B344" s="2">
        <v>128656</v>
      </c>
      <c r="C344" s="2" t="s">
        <v>45</v>
      </c>
      <c r="D344" s="2" t="s">
        <v>37</v>
      </c>
      <c r="E344" s="2" t="s">
        <v>56</v>
      </c>
    </row>
    <row r="345" spans="1:5" ht="13" x14ac:dyDescent="0.15">
      <c r="A345" s="2" t="s">
        <v>18</v>
      </c>
      <c r="B345" s="2">
        <v>118463</v>
      </c>
      <c r="C345" s="2" t="s">
        <v>45</v>
      </c>
      <c r="D345" s="2" t="s">
        <v>38</v>
      </c>
      <c r="E345" s="2" t="s">
        <v>56</v>
      </c>
    </row>
    <row r="346" spans="1:5" ht="13" x14ac:dyDescent="0.15">
      <c r="A346" s="2" t="s">
        <v>18</v>
      </c>
      <c r="B346" s="2">
        <v>106349</v>
      </c>
      <c r="C346" s="2" t="s">
        <v>46</v>
      </c>
      <c r="D346" s="2" t="s">
        <v>37</v>
      </c>
      <c r="E346" s="2" t="s">
        <v>56</v>
      </c>
    </row>
    <row r="347" spans="1:5" ht="13" x14ac:dyDescent="0.15">
      <c r="A347" s="2" t="s">
        <v>18</v>
      </c>
      <c r="B347" s="2">
        <v>96763</v>
      </c>
      <c r="C347" s="2" t="s">
        <v>46</v>
      </c>
      <c r="D347" s="2" t="s">
        <v>38</v>
      </c>
      <c r="E347" s="2" t="s">
        <v>56</v>
      </c>
    </row>
    <row r="348" spans="1:5" ht="13" x14ac:dyDescent="0.15">
      <c r="A348" s="2" t="s">
        <v>18</v>
      </c>
      <c r="B348" s="2">
        <v>115883</v>
      </c>
      <c r="C348" s="2" t="s">
        <v>47</v>
      </c>
      <c r="D348" s="2" t="s">
        <v>37</v>
      </c>
      <c r="E348" s="2" t="s">
        <v>56</v>
      </c>
    </row>
    <row r="349" spans="1:5" ht="13" x14ac:dyDescent="0.15">
      <c r="A349" s="2" t="s">
        <v>18</v>
      </c>
      <c r="B349" s="2">
        <v>108449</v>
      </c>
      <c r="C349" s="2" t="s">
        <v>47</v>
      </c>
      <c r="D349" s="2" t="s">
        <v>38</v>
      </c>
      <c r="E349" s="2" t="s">
        <v>56</v>
      </c>
    </row>
    <row r="350" spans="1:5" ht="13" x14ac:dyDescent="0.15">
      <c r="A350" s="2" t="s">
        <v>18</v>
      </c>
      <c r="B350" s="2">
        <v>121484</v>
      </c>
      <c r="C350" s="2" t="s">
        <v>48</v>
      </c>
      <c r="D350" s="2" t="s">
        <v>37</v>
      </c>
      <c r="E350" s="2" t="s">
        <v>56</v>
      </c>
    </row>
    <row r="351" spans="1:5" ht="13" x14ac:dyDescent="0.15">
      <c r="A351" s="2" t="s">
        <v>18</v>
      </c>
      <c r="B351" s="2">
        <v>113799</v>
      </c>
      <c r="C351" s="2" t="s">
        <v>48</v>
      </c>
      <c r="D351" s="2" t="s">
        <v>38</v>
      </c>
      <c r="E351" s="2" t="s">
        <v>56</v>
      </c>
    </row>
    <row r="352" spans="1:5" ht="13" x14ac:dyDescent="0.15">
      <c r="A352" s="2" t="s">
        <v>18</v>
      </c>
      <c r="B352" s="2">
        <v>127376</v>
      </c>
      <c r="C352" s="2" t="s">
        <v>49</v>
      </c>
      <c r="D352" s="2" t="s">
        <v>37</v>
      </c>
      <c r="E352" s="2" t="s">
        <v>56</v>
      </c>
    </row>
    <row r="353" spans="1:5" ht="13" x14ac:dyDescent="0.15">
      <c r="A353" s="2" t="s">
        <v>18</v>
      </c>
      <c r="B353" s="2">
        <v>120832</v>
      </c>
      <c r="C353" s="2" t="s">
        <v>49</v>
      </c>
      <c r="D353" s="2" t="s">
        <v>38</v>
      </c>
      <c r="E353" s="2" t="s">
        <v>56</v>
      </c>
    </row>
    <row r="354" spans="1:5" ht="13" x14ac:dyDescent="0.15">
      <c r="A354" s="2" t="s">
        <v>18</v>
      </c>
      <c r="B354" s="2">
        <v>127664</v>
      </c>
      <c r="C354" s="2" t="s">
        <v>50</v>
      </c>
      <c r="D354" s="2" t="s">
        <v>37</v>
      </c>
      <c r="E354" s="2" t="s">
        <v>56</v>
      </c>
    </row>
    <row r="355" spans="1:5" ht="13" x14ac:dyDescent="0.15">
      <c r="A355" s="2" t="s">
        <v>18</v>
      </c>
      <c r="B355" s="2">
        <v>118988</v>
      </c>
      <c r="C355" s="2" t="s">
        <v>50</v>
      </c>
      <c r="D355" s="2" t="s">
        <v>38</v>
      </c>
      <c r="E355" s="2" t="s">
        <v>56</v>
      </c>
    </row>
    <row r="356" spans="1:5" ht="13" x14ac:dyDescent="0.15">
      <c r="A356" s="2" t="s">
        <v>18</v>
      </c>
      <c r="B356" s="2">
        <v>123769</v>
      </c>
      <c r="C356" s="2" t="s">
        <v>51</v>
      </c>
      <c r="D356" s="2" t="s">
        <v>37</v>
      </c>
      <c r="E356" s="2" t="s">
        <v>56</v>
      </c>
    </row>
    <row r="357" spans="1:5" ht="13" x14ac:dyDescent="0.15">
      <c r="A357" s="2" t="s">
        <v>18</v>
      </c>
      <c r="B357" s="2">
        <v>118809</v>
      </c>
      <c r="C357" s="2" t="s">
        <v>51</v>
      </c>
      <c r="D357" s="2" t="s">
        <v>38</v>
      </c>
      <c r="E357" s="2" t="s">
        <v>56</v>
      </c>
    </row>
    <row r="358" spans="1:5" ht="13" x14ac:dyDescent="0.15">
      <c r="A358" s="2" t="s">
        <v>18</v>
      </c>
      <c r="B358" s="2">
        <v>110871</v>
      </c>
      <c r="C358" s="2" t="s">
        <v>52</v>
      </c>
      <c r="D358" s="2" t="s">
        <v>37</v>
      </c>
      <c r="E358" s="2" t="s">
        <v>56</v>
      </c>
    </row>
    <row r="359" spans="1:5" ht="13" x14ac:dyDescent="0.15">
      <c r="A359" s="2" t="s">
        <v>18</v>
      </c>
      <c r="B359" s="2">
        <v>111443</v>
      </c>
      <c r="C359" s="2" t="s">
        <v>52</v>
      </c>
      <c r="D359" s="2" t="s">
        <v>38</v>
      </c>
      <c r="E359" s="2" t="s">
        <v>56</v>
      </c>
    </row>
    <row r="360" spans="1:5" ht="13" x14ac:dyDescent="0.15">
      <c r="A360" s="2" t="s">
        <v>18</v>
      </c>
      <c r="B360" s="2">
        <v>99517</v>
      </c>
      <c r="C360" s="2" t="s">
        <v>53</v>
      </c>
      <c r="D360" s="2" t="s">
        <v>37</v>
      </c>
      <c r="E360" s="2" t="s">
        <v>56</v>
      </c>
    </row>
    <row r="361" spans="1:5" ht="13" x14ac:dyDescent="0.15">
      <c r="A361" s="2" t="s">
        <v>18</v>
      </c>
      <c r="B361" s="2">
        <v>103883</v>
      </c>
      <c r="C361" s="2" t="s">
        <v>53</v>
      </c>
      <c r="D361" s="2" t="s">
        <v>38</v>
      </c>
      <c r="E361" s="2" t="s">
        <v>56</v>
      </c>
    </row>
    <row r="362" spans="1:5" ht="13" x14ac:dyDescent="0.15">
      <c r="A362" s="2" t="s">
        <v>18</v>
      </c>
      <c r="B362" s="2">
        <v>93521</v>
      </c>
      <c r="C362" s="2" t="s">
        <v>54</v>
      </c>
      <c r="D362" s="2" t="s">
        <v>37</v>
      </c>
      <c r="E362" s="2" t="s">
        <v>56</v>
      </c>
    </row>
    <row r="363" spans="1:5" ht="13" x14ac:dyDescent="0.15">
      <c r="A363" s="2" t="s">
        <v>18</v>
      </c>
      <c r="B363" s="2">
        <v>96395</v>
      </c>
      <c r="C363" s="2" t="s">
        <v>54</v>
      </c>
      <c r="D363" s="2" t="s">
        <v>38</v>
      </c>
      <c r="E363" s="2" t="s">
        <v>56</v>
      </c>
    </row>
    <row r="364" spans="1:5" ht="13" x14ac:dyDescent="0.15">
      <c r="A364" s="2" t="s">
        <v>18</v>
      </c>
      <c r="B364" s="2">
        <v>81810</v>
      </c>
      <c r="C364" s="2" t="s">
        <v>55</v>
      </c>
      <c r="D364" s="2" t="s">
        <v>37</v>
      </c>
      <c r="E364" s="2" t="s">
        <v>56</v>
      </c>
    </row>
    <row r="365" spans="1:5" ht="13" x14ac:dyDescent="0.15">
      <c r="A365" s="2" t="s">
        <v>18</v>
      </c>
      <c r="B365" s="2">
        <v>85789</v>
      </c>
      <c r="C365" s="2" t="s">
        <v>55</v>
      </c>
      <c r="D365" s="2" t="s">
        <v>38</v>
      </c>
      <c r="E365" s="2" t="s">
        <v>56</v>
      </c>
    </row>
    <row r="366" spans="1:5" ht="13" x14ac:dyDescent="0.15">
      <c r="A366" s="2" t="s">
        <v>18</v>
      </c>
      <c r="B366" s="2">
        <v>112805</v>
      </c>
      <c r="C366" s="2" t="s">
        <v>42</v>
      </c>
      <c r="D366" s="2" t="s">
        <v>37</v>
      </c>
      <c r="E366" s="2" t="s">
        <v>57</v>
      </c>
    </row>
    <row r="367" spans="1:5" ht="13" x14ac:dyDescent="0.15">
      <c r="A367" s="2" t="s">
        <v>18</v>
      </c>
      <c r="B367" s="2">
        <v>105468</v>
      </c>
      <c r="C367" s="2" t="s">
        <v>42</v>
      </c>
      <c r="D367" s="2" t="s">
        <v>38</v>
      </c>
      <c r="E367" s="2" t="s">
        <v>57</v>
      </c>
    </row>
    <row r="368" spans="1:5" ht="13" x14ac:dyDescent="0.15">
      <c r="A368" s="2" t="s">
        <v>18</v>
      </c>
      <c r="B368" s="2">
        <v>110494</v>
      </c>
      <c r="C368" s="2" t="s">
        <v>44</v>
      </c>
      <c r="D368" s="2" t="s">
        <v>37</v>
      </c>
      <c r="E368" s="2" t="s">
        <v>57</v>
      </c>
    </row>
    <row r="369" spans="1:5" ht="13" x14ac:dyDescent="0.15">
      <c r="A369" s="2" t="s">
        <v>18</v>
      </c>
      <c r="B369" s="2">
        <v>97026</v>
      </c>
      <c r="C369" s="2" t="s">
        <v>44</v>
      </c>
      <c r="D369" s="2" t="s">
        <v>38</v>
      </c>
      <c r="E369" s="2" t="s">
        <v>57</v>
      </c>
    </row>
    <row r="370" spans="1:5" ht="13" x14ac:dyDescent="0.15">
      <c r="A370" s="2" t="s">
        <v>18</v>
      </c>
      <c r="B370" s="2">
        <v>129776</v>
      </c>
      <c r="C370" s="2" t="s">
        <v>45</v>
      </c>
      <c r="D370" s="2" t="s">
        <v>37</v>
      </c>
      <c r="E370" s="2" t="s">
        <v>57</v>
      </c>
    </row>
    <row r="371" spans="1:5" ht="13" x14ac:dyDescent="0.15">
      <c r="A371" s="2" t="s">
        <v>18</v>
      </c>
      <c r="B371" s="2">
        <v>123024</v>
      </c>
      <c r="C371" s="2" t="s">
        <v>45</v>
      </c>
      <c r="D371" s="2" t="s">
        <v>38</v>
      </c>
      <c r="E371" s="2" t="s">
        <v>57</v>
      </c>
    </row>
    <row r="372" spans="1:5" ht="13" x14ac:dyDescent="0.15">
      <c r="A372" s="2" t="s">
        <v>18</v>
      </c>
      <c r="B372" s="2">
        <v>123221</v>
      </c>
      <c r="C372" s="2" t="s">
        <v>46</v>
      </c>
      <c r="D372" s="2" t="s">
        <v>37</v>
      </c>
      <c r="E372" s="2" t="s">
        <v>57</v>
      </c>
    </row>
    <row r="373" spans="1:5" ht="13" x14ac:dyDescent="0.15">
      <c r="A373" s="2" t="s">
        <v>18</v>
      </c>
      <c r="B373" s="2">
        <v>114611</v>
      </c>
      <c r="C373" s="2" t="s">
        <v>46</v>
      </c>
      <c r="D373" s="2" t="s">
        <v>38</v>
      </c>
      <c r="E373" s="2" t="s">
        <v>57</v>
      </c>
    </row>
    <row r="374" spans="1:5" ht="13" x14ac:dyDescent="0.15">
      <c r="A374" s="2" t="s">
        <v>18</v>
      </c>
      <c r="B374" s="2">
        <v>102284</v>
      </c>
      <c r="C374" s="2" t="s">
        <v>47</v>
      </c>
      <c r="D374" s="2" t="s">
        <v>37</v>
      </c>
      <c r="E374" s="2" t="s">
        <v>57</v>
      </c>
    </row>
    <row r="375" spans="1:5" ht="13" x14ac:dyDescent="0.15">
      <c r="A375" s="2" t="s">
        <v>18</v>
      </c>
      <c r="B375" s="2">
        <v>94072</v>
      </c>
      <c r="C375" s="2" t="s">
        <v>47</v>
      </c>
      <c r="D375" s="2" t="s">
        <v>38</v>
      </c>
      <c r="E375" s="2" t="s">
        <v>57</v>
      </c>
    </row>
    <row r="376" spans="1:5" ht="13" x14ac:dyDescent="0.15">
      <c r="A376" s="2" t="s">
        <v>18</v>
      </c>
      <c r="B376" s="2">
        <v>112317</v>
      </c>
      <c r="C376" s="2" t="s">
        <v>48</v>
      </c>
      <c r="D376" s="2" t="s">
        <v>37</v>
      </c>
      <c r="E376" s="2" t="s">
        <v>57</v>
      </c>
    </row>
    <row r="377" spans="1:5" ht="13" x14ac:dyDescent="0.15">
      <c r="A377" s="2" t="s">
        <v>18</v>
      </c>
      <c r="B377" s="2">
        <v>106070</v>
      </c>
      <c r="C377" s="2" t="s">
        <v>48</v>
      </c>
      <c r="D377" s="2" t="s">
        <v>38</v>
      </c>
      <c r="E377" s="2" t="s">
        <v>57</v>
      </c>
    </row>
    <row r="378" spans="1:5" ht="13" x14ac:dyDescent="0.15">
      <c r="A378" s="2" t="s">
        <v>18</v>
      </c>
      <c r="B378" s="2">
        <v>117152</v>
      </c>
      <c r="C378" s="2" t="s">
        <v>49</v>
      </c>
      <c r="D378" s="2" t="s">
        <v>37</v>
      </c>
      <c r="E378" s="2" t="s">
        <v>57</v>
      </c>
    </row>
    <row r="379" spans="1:5" ht="13" x14ac:dyDescent="0.15">
      <c r="A379" s="2" t="s">
        <v>18</v>
      </c>
      <c r="B379" s="2">
        <v>111315</v>
      </c>
      <c r="C379" s="2" t="s">
        <v>49</v>
      </c>
      <c r="D379" s="2" t="s">
        <v>38</v>
      </c>
      <c r="E379" s="2" t="s">
        <v>57</v>
      </c>
    </row>
    <row r="380" spans="1:5" ht="13" x14ac:dyDescent="0.15">
      <c r="A380" s="2" t="s">
        <v>18</v>
      </c>
      <c r="B380" s="2">
        <v>117446</v>
      </c>
      <c r="C380" s="2" t="s">
        <v>50</v>
      </c>
      <c r="D380" s="2" t="s">
        <v>37</v>
      </c>
      <c r="E380" s="2" t="s">
        <v>57</v>
      </c>
    </row>
    <row r="381" spans="1:5" ht="13" x14ac:dyDescent="0.15">
      <c r="A381" s="2" t="s">
        <v>18</v>
      </c>
      <c r="B381" s="2">
        <v>113439</v>
      </c>
      <c r="C381" s="2" t="s">
        <v>50</v>
      </c>
      <c r="D381" s="2" t="s">
        <v>38</v>
      </c>
      <c r="E381" s="2" t="s">
        <v>57</v>
      </c>
    </row>
    <row r="382" spans="1:5" ht="13" x14ac:dyDescent="0.15">
      <c r="A382" s="2" t="s">
        <v>18</v>
      </c>
      <c r="B382" s="2">
        <v>118539</v>
      </c>
      <c r="C382" s="2" t="s">
        <v>51</v>
      </c>
      <c r="D382" s="2" t="s">
        <v>37</v>
      </c>
      <c r="E382" s="2" t="s">
        <v>57</v>
      </c>
    </row>
    <row r="383" spans="1:5" ht="13" x14ac:dyDescent="0.15">
      <c r="A383" s="2" t="s">
        <v>18</v>
      </c>
      <c r="B383" s="2">
        <v>114009</v>
      </c>
      <c r="C383" s="2" t="s">
        <v>51</v>
      </c>
      <c r="D383" s="2" t="s">
        <v>38</v>
      </c>
      <c r="E383" s="2" t="s">
        <v>57</v>
      </c>
    </row>
    <row r="384" spans="1:5" ht="13" x14ac:dyDescent="0.15">
      <c r="A384" s="2" t="s">
        <v>18</v>
      </c>
      <c r="B384" s="2">
        <v>114429</v>
      </c>
      <c r="C384" s="2" t="s">
        <v>52</v>
      </c>
      <c r="D384" s="2" t="s">
        <v>37</v>
      </c>
      <c r="E384" s="2" t="s">
        <v>57</v>
      </c>
    </row>
    <row r="385" spans="1:5" ht="13" x14ac:dyDescent="0.15">
      <c r="A385" s="2" t="s">
        <v>18</v>
      </c>
      <c r="B385" s="2">
        <v>113656</v>
      </c>
      <c r="C385" s="2" t="s">
        <v>52</v>
      </c>
      <c r="D385" s="2" t="s">
        <v>38</v>
      </c>
      <c r="E385" s="2" t="s">
        <v>57</v>
      </c>
    </row>
    <row r="386" spans="1:5" ht="13" x14ac:dyDescent="0.15">
      <c r="A386" s="2" t="s">
        <v>18</v>
      </c>
      <c r="B386" s="2">
        <v>103352</v>
      </c>
      <c r="C386" s="2" t="s">
        <v>53</v>
      </c>
      <c r="D386" s="2" t="s">
        <v>37</v>
      </c>
      <c r="E386" s="2" t="s">
        <v>57</v>
      </c>
    </row>
    <row r="387" spans="1:5" ht="13" x14ac:dyDescent="0.15">
      <c r="A387" s="2" t="s">
        <v>18</v>
      </c>
      <c r="B387" s="2">
        <v>107324</v>
      </c>
      <c r="C387" s="2" t="s">
        <v>53</v>
      </c>
      <c r="D387" s="2" t="s">
        <v>38</v>
      </c>
      <c r="E387" s="2" t="s">
        <v>57</v>
      </c>
    </row>
    <row r="388" spans="1:5" ht="13" x14ac:dyDescent="0.15">
      <c r="A388" s="2" t="s">
        <v>18</v>
      </c>
      <c r="B388" s="2">
        <v>92800</v>
      </c>
      <c r="C388" s="2" t="s">
        <v>54</v>
      </c>
      <c r="D388" s="2" t="s">
        <v>37</v>
      </c>
      <c r="E388" s="2" t="s">
        <v>57</v>
      </c>
    </row>
    <row r="389" spans="1:5" ht="13" x14ac:dyDescent="0.15">
      <c r="A389" s="2" t="s">
        <v>18</v>
      </c>
      <c r="B389" s="2">
        <v>99820</v>
      </c>
      <c r="C389" s="2" t="s">
        <v>54</v>
      </c>
      <c r="D389" s="2" t="s">
        <v>38</v>
      </c>
      <c r="E389" s="2" t="s">
        <v>57</v>
      </c>
    </row>
    <row r="390" spans="1:5" ht="13" x14ac:dyDescent="0.15">
      <c r="A390" s="2" t="s">
        <v>18</v>
      </c>
      <c r="B390" s="2">
        <v>83390</v>
      </c>
      <c r="C390" s="2" t="s">
        <v>55</v>
      </c>
      <c r="D390" s="2" t="s">
        <v>37</v>
      </c>
      <c r="E390" s="2" t="s">
        <v>57</v>
      </c>
    </row>
    <row r="391" spans="1:5" ht="13" x14ac:dyDescent="0.15">
      <c r="A391" s="2" t="s">
        <v>18</v>
      </c>
      <c r="B391" s="2">
        <v>88990</v>
      </c>
      <c r="C391" s="2" t="s">
        <v>55</v>
      </c>
      <c r="D391" s="2" t="s">
        <v>38</v>
      </c>
      <c r="E391" s="2" t="s">
        <v>57</v>
      </c>
    </row>
    <row r="392" spans="1:5" ht="13" x14ac:dyDescent="0.15">
      <c r="A392" s="2" t="s">
        <v>19</v>
      </c>
      <c r="B392" s="2">
        <v>176955</v>
      </c>
      <c r="C392" s="2" t="s">
        <v>42</v>
      </c>
      <c r="D392" s="2" t="s">
        <v>37</v>
      </c>
      <c r="E392" s="2" t="s">
        <v>43</v>
      </c>
    </row>
    <row r="393" spans="1:5" ht="13" x14ac:dyDescent="0.15">
      <c r="A393" s="2" t="s">
        <v>19</v>
      </c>
      <c r="B393" s="2">
        <v>166394</v>
      </c>
      <c r="C393" s="2" t="s">
        <v>42</v>
      </c>
      <c r="D393" s="2" t="s">
        <v>38</v>
      </c>
      <c r="E393" s="2" t="s">
        <v>43</v>
      </c>
    </row>
    <row r="394" spans="1:5" ht="13" x14ac:dyDescent="0.15">
      <c r="A394" s="2" t="s">
        <v>19</v>
      </c>
      <c r="B394" s="2">
        <v>173034</v>
      </c>
      <c r="C394" s="2" t="s">
        <v>44</v>
      </c>
      <c r="D394" s="2" t="s">
        <v>37</v>
      </c>
      <c r="E394" s="2" t="s">
        <v>43</v>
      </c>
    </row>
    <row r="395" spans="1:5" ht="13" x14ac:dyDescent="0.15">
      <c r="A395" s="2" t="s">
        <v>19</v>
      </c>
      <c r="B395" s="2">
        <v>158665</v>
      </c>
      <c r="C395" s="2" t="s">
        <v>44</v>
      </c>
      <c r="D395" s="2" t="s">
        <v>38</v>
      </c>
      <c r="E395" s="2" t="s">
        <v>43</v>
      </c>
    </row>
    <row r="396" spans="1:5" ht="13" x14ac:dyDescent="0.15">
      <c r="A396" s="2" t="s">
        <v>19</v>
      </c>
      <c r="B396" s="2">
        <v>140734</v>
      </c>
      <c r="C396" s="2" t="s">
        <v>45</v>
      </c>
      <c r="D396" s="2" t="s">
        <v>37</v>
      </c>
      <c r="E396" s="2" t="s">
        <v>43</v>
      </c>
    </row>
    <row r="397" spans="1:5" ht="13" x14ac:dyDescent="0.15">
      <c r="A397" s="2" t="s">
        <v>19</v>
      </c>
      <c r="B397" s="2">
        <v>127163</v>
      </c>
      <c r="C397" s="2" t="s">
        <v>45</v>
      </c>
      <c r="D397" s="2" t="s">
        <v>38</v>
      </c>
      <c r="E397" s="2" t="s">
        <v>43</v>
      </c>
    </row>
    <row r="398" spans="1:5" ht="13" x14ac:dyDescent="0.15">
      <c r="A398" s="2" t="s">
        <v>19</v>
      </c>
      <c r="B398" s="2">
        <v>147986</v>
      </c>
      <c r="C398" s="2" t="s">
        <v>46</v>
      </c>
      <c r="D398" s="2" t="s">
        <v>37</v>
      </c>
      <c r="E398" s="2" t="s">
        <v>43</v>
      </c>
    </row>
    <row r="399" spans="1:5" ht="13" x14ac:dyDescent="0.15">
      <c r="A399" s="2" t="s">
        <v>19</v>
      </c>
      <c r="B399" s="2">
        <v>138703</v>
      </c>
      <c r="C399" s="2" t="s">
        <v>46</v>
      </c>
      <c r="D399" s="2" t="s">
        <v>38</v>
      </c>
      <c r="E399" s="2" t="s">
        <v>43</v>
      </c>
    </row>
    <row r="400" spans="1:5" ht="13" x14ac:dyDescent="0.15">
      <c r="A400" s="2" t="s">
        <v>19</v>
      </c>
      <c r="B400" s="2">
        <v>161188</v>
      </c>
      <c r="C400" s="2" t="s">
        <v>47</v>
      </c>
      <c r="D400" s="2" t="s">
        <v>37</v>
      </c>
      <c r="E400" s="2" t="s">
        <v>43</v>
      </c>
    </row>
    <row r="401" spans="1:5" ht="13" x14ac:dyDescent="0.15">
      <c r="A401" s="2" t="s">
        <v>19</v>
      </c>
      <c r="B401" s="2">
        <v>151626</v>
      </c>
      <c r="C401" s="2" t="s">
        <v>47</v>
      </c>
      <c r="D401" s="2" t="s">
        <v>38</v>
      </c>
      <c r="E401" s="2" t="s">
        <v>43</v>
      </c>
    </row>
    <row r="402" spans="1:5" ht="13" x14ac:dyDescent="0.15">
      <c r="A402" s="2" t="s">
        <v>19</v>
      </c>
      <c r="B402" s="2">
        <v>166406</v>
      </c>
      <c r="C402" s="2" t="s">
        <v>48</v>
      </c>
      <c r="D402" s="2" t="s">
        <v>37</v>
      </c>
      <c r="E402" s="2" t="s">
        <v>43</v>
      </c>
    </row>
    <row r="403" spans="1:5" ht="13" x14ac:dyDescent="0.15">
      <c r="A403" s="2" t="s">
        <v>19</v>
      </c>
      <c r="B403" s="2">
        <v>155958</v>
      </c>
      <c r="C403" s="2" t="s">
        <v>48</v>
      </c>
      <c r="D403" s="2" t="s">
        <v>38</v>
      </c>
      <c r="E403" s="2" t="s">
        <v>43</v>
      </c>
    </row>
    <row r="404" spans="1:5" ht="13" x14ac:dyDescent="0.15">
      <c r="A404" s="2" t="s">
        <v>19</v>
      </c>
      <c r="B404" s="2">
        <v>164843</v>
      </c>
      <c r="C404" s="2" t="s">
        <v>49</v>
      </c>
      <c r="D404" s="2" t="s">
        <v>37</v>
      </c>
      <c r="E404" s="2" t="s">
        <v>43</v>
      </c>
    </row>
    <row r="405" spans="1:5" ht="13" x14ac:dyDescent="0.15">
      <c r="A405" s="2" t="s">
        <v>19</v>
      </c>
      <c r="B405" s="2">
        <v>155103</v>
      </c>
      <c r="C405" s="2" t="s">
        <v>49</v>
      </c>
      <c r="D405" s="2" t="s">
        <v>38</v>
      </c>
      <c r="E405" s="2" t="s">
        <v>43</v>
      </c>
    </row>
    <row r="406" spans="1:5" ht="13" x14ac:dyDescent="0.15">
      <c r="A406" s="2" t="s">
        <v>19</v>
      </c>
      <c r="B406" s="2">
        <v>176747</v>
      </c>
      <c r="C406" s="2" t="s">
        <v>50</v>
      </c>
      <c r="D406" s="2" t="s">
        <v>37</v>
      </c>
      <c r="E406" s="2" t="s">
        <v>43</v>
      </c>
    </row>
    <row r="407" spans="1:5" ht="13" x14ac:dyDescent="0.15">
      <c r="A407" s="2" t="s">
        <v>19</v>
      </c>
      <c r="B407" s="2">
        <v>162220</v>
      </c>
      <c r="C407" s="2" t="s">
        <v>50</v>
      </c>
      <c r="D407" s="2" t="s">
        <v>38</v>
      </c>
      <c r="E407" s="2" t="s">
        <v>43</v>
      </c>
    </row>
    <row r="408" spans="1:5" ht="13" x14ac:dyDescent="0.15">
      <c r="A408" s="2" t="s">
        <v>19</v>
      </c>
      <c r="B408" s="2">
        <v>155399</v>
      </c>
      <c r="C408" s="2" t="s">
        <v>51</v>
      </c>
      <c r="D408" s="2" t="s">
        <v>37</v>
      </c>
      <c r="E408" s="2" t="s">
        <v>43</v>
      </c>
    </row>
    <row r="409" spans="1:5" ht="13" x14ac:dyDescent="0.15">
      <c r="A409" s="2" t="s">
        <v>19</v>
      </c>
      <c r="B409" s="2">
        <v>151018</v>
      </c>
      <c r="C409" s="2" t="s">
        <v>51</v>
      </c>
      <c r="D409" s="2" t="s">
        <v>38</v>
      </c>
      <c r="E409" s="2" t="s">
        <v>43</v>
      </c>
    </row>
    <row r="410" spans="1:5" ht="13" x14ac:dyDescent="0.15">
      <c r="A410" s="2" t="s">
        <v>19</v>
      </c>
      <c r="B410" s="2">
        <v>137862</v>
      </c>
      <c r="C410" s="2" t="s">
        <v>52</v>
      </c>
      <c r="D410" s="2" t="s">
        <v>37</v>
      </c>
      <c r="E410" s="2" t="s">
        <v>43</v>
      </c>
    </row>
    <row r="411" spans="1:5" ht="13" x14ac:dyDescent="0.15">
      <c r="A411" s="2" t="s">
        <v>19</v>
      </c>
      <c r="B411" s="2">
        <v>139374</v>
      </c>
      <c r="C411" s="2" t="s">
        <v>52</v>
      </c>
      <c r="D411" s="2" t="s">
        <v>38</v>
      </c>
      <c r="E411" s="2" t="s">
        <v>43</v>
      </c>
    </row>
    <row r="412" spans="1:5" ht="13" x14ac:dyDescent="0.15">
      <c r="A412" s="2" t="s">
        <v>19</v>
      </c>
      <c r="B412" s="2">
        <v>125045</v>
      </c>
      <c r="C412" s="2" t="s">
        <v>53</v>
      </c>
      <c r="D412" s="2" t="s">
        <v>37</v>
      </c>
      <c r="E412" s="2" t="s">
        <v>43</v>
      </c>
    </row>
    <row r="413" spans="1:5" ht="13" x14ac:dyDescent="0.15">
      <c r="A413" s="2" t="s">
        <v>19</v>
      </c>
      <c r="B413" s="2">
        <v>130182</v>
      </c>
      <c r="C413" s="2" t="s">
        <v>53</v>
      </c>
      <c r="D413" s="2" t="s">
        <v>38</v>
      </c>
      <c r="E413" s="2" t="s">
        <v>43</v>
      </c>
    </row>
    <row r="414" spans="1:5" ht="13" x14ac:dyDescent="0.15">
      <c r="A414" s="2" t="s">
        <v>19</v>
      </c>
      <c r="B414" s="2">
        <v>113219</v>
      </c>
      <c r="C414" s="2" t="s">
        <v>54</v>
      </c>
      <c r="D414" s="2" t="s">
        <v>37</v>
      </c>
      <c r="E414" s="2" t="s">
        <v>43</v>
      </c>
    </row>
    <row r="415" spans="1:5" ht="13" x14ac:dyDescent="0.15">
      <c r="A415" s="2" t="s">
        <v>19</v>
      </c>
      <c r="B415" s="2">
        <v>120617</v>
      </c>
      <c r="C415" s="2" t="s">
        <v>54</v>
      </c>
      <c r="D415" s="2" t="s">
        <v>38</v>
      </c>
      <c r="E415" s="2" t="s">
        <v>43</v>
      </c>
    </row>
    <row r="416" spans="1:5" ht="13" x14ac:dyDescent="0.15">
      <c r="A416" s="2" t="s">
        <v>19</v>
      </c>
      <c r="B416" s="2">
        <v>95854</v>
      </c>
      <c r="C416" s="2" t="s">
        <v>55</v>
      </c>
      <c r="D416" s="2" t="s">
        <v>37</v>
      </c>
      <c r="E416" s="2" t="s">
        <v>43</v>
      </c>
    </row>
    <row r="417" spans="1:5" ht="13" x14ac:dyDescent="0.15">
      <c r="A417" s="2" t="s">
        <v>19</v>
      </c>
      <c r="B417" s="2">
        <v>104704</v>
      </c>
      <c r="C417" s="2" t="s">
        <v>55</v>
      </c>
      <c r="D417" s="2" t="s">
        <v>38</v>
      </c>
      <c r="E417" s="2" t="s">
        <v>43</v>
      </c>
    </row>
    <row r="418" spans="1:5" ht="13" x14ac:dyDescent="0.15">
      <c r="A418" s="2" t="s">
        <v>19</v>
      </c>
      <c r="B418" s="2">
        <v>148658</v>
      </c>
      <c r="C418" s="2" t="s">
        <v>42</v>
      </c>
      <c r="D418" s="2" t="s">
        <v>37</v>
      </c>
      <c r="E418" s="2" t="s">
        <v>56</v>
      </c>
    </row>
    <row r="419" spans="1:5" ht="13" x14ac:dyDescent="0.15">
      <c r="A419" s="2" t="s">
        <v>19</v>
      </c>
      <c r="B419" s="2">
        <v>134593</v>
      </c>
      <c r="C419" s="2" t="s">
        <v>42</v>
      </c>
      <c r="D419" s="2" t="s">
        <v>38</v>
      </c>
      <c r="E419" s="2" t="s">
        <v>56</v>
      </c>
    </row>
    <row r="420" spans="1:5" ht="13" x14ac:dyDescent="0.15">
      <c r="A420" s="2" t="s">
        <v>19</v>
      </c>
      <c r="B420" s="2">
        <v>180652</v>
      </c>
      <c r="C420" s="2" t="s">
        <v>44</v>
      </c>
      <c r="D420" s="2" t="s">
        <v>37</v>
      </c>
      <c r="E420" s="2" t="s">
        <v>56</v>
      </c>
    </row>
    <row r="421" spans="1:5" ht="13" x14ac:dyDescent="0.15">
      <c r="A421" s="2" t="s">
        <v>19</v>
      </c>
      <c r="B421" s="2">
        <v>168750</v>
      </c>
      <c r="C421" s="2" t="s">
        <v>44</v>
      </c>
      <c r="D421" s="2" t="s">
        <v>38</v>
      </c>
      <c r="E421" s="2" t="s">
        <v>56</v>
      </c>
    </row>
    <row r="422" spans="1:5" ht="13" x14ac:dyDescent="0.15">
      <c r="A422" s="2" t="s">
        <v>19</v>
      </c>
      <c r="B422" s="2">
        <v>171104</v>
      </c>
      <c r="C422" s="2" t="s">
        <v>45</v>
      </c>
      <c r="D422" s="2" t="s">
        <v>37</v>
      </c>
      <c r="E422" s="2" t="s">
        <v>56</v>
      </c>
    </row>
    <row r="423" spans="1:5" ht="13" x14ac:dyDescent="0.15">
      <c r="A423" s="2" t="s">
        <v>19</v>
      </c>
      <c r="B423" s="2">
        <v>158208</v>
      </c>
      <c r="C423" s="2" t="s">
        <v>45</v>
      </c>
      <c r="D423" s="2" t="s">
        <v>38</v>
      </c>
      <c r="E423" s="2" t="s">
        <v>56</v>
      </c>
    </row>
    <row r="424" spans="1:5" ht="13" x14ac:dyDescent="0.15">
      <c r="A424" s="2" t="s">
        <v>19</v>
      </c>
      <c r="B424" s="2">
        <v>141426</v>
      </c>
      <c r="C424" s="2" t="s">
        <v>46</v>
      </c>
      <c r="D424" s="2" t="s">
        <v>37</v>
      </c>
      <c r="E424" s="2" t="s">
        <v>56</v>
      </c>
    </row>
    <row r="425" spans="1:5" ht="13" x14ac:dyDescent="0.15">
      <c r="A425" s="2" t="s">
        <v>19</v>
      </c>
      <c r="B425" s="2">
        <v>128191</v>
      </c>
      <c r="C425" s="2" t="s">
        <v>46</v>
      </c>
      <c r="D425" s="2" t="s">
        <v>38</v>
      </c>
      <c r="E425" s="2" t="s">
        <v>56</v>
      </c>
    </row>
    <row r="426" spans="1:5" ht="13" x14ac:dyDescent="0.15">
      <c r="A426" s="2" t="s">
        <v>19</v>
      </c>
      <c r="B426" s="2">
        <v>148100</v>
      </c>
      <c r="C426" s="2" t="s">
        <v>47</v>
      </c>
      <c r="D426" s="2" t="s">
        <v>37</v>
      </c>
      <c r="E426" s="2" t="s">
        <v>56</v>
      </c>
    </row>
    <row r="427" spans="1:5" ht="13" x14ac:dyDescent="0.15">
      <c r="A427" s="2" t="s">
        <v>19</v>
      </c>
      <c r="B427" s="2">
        <v>139152</v>
      </c>
      <c r="C427" s="2" t="s">
        <v>47</v>
      </c>
      <c r="D427" s="2" t="s">
        <v>38</v>
      </c>
      <c r="E427" s="2" t="s">
        <v>56</v>
      </c>
    </row>
    <row r="428" spans="1:5" ht="13" x14ac:dyDescent="0.15">
      <c r="A428" s="2" t="s">
        <v>19</v>
      </c>
      <c r="B428" s="2">
        <v>160965</v>
      </c>
      <c r="C428" s="2" t="s">
        <v>48</v>
      </c>
      <c r="D428" s="2" t="s">
        <v>37</v>
      </c>
      <c r="E428" s="2" t="s">
        <v>56</v>
      </c>
    </row>
    <row r="429" spans="1:5" ht="13" x14ac:dyDescent="0.15">
      <c r="A429" s="2" t="s">
        <v>19</v>
      </c>
      <c r="B429" s="2">
        <v>151902</v>
      </c>
      <c r="C429" s="2" t="s">
        <v>48</v>
      </c>
      <c r="D429" s="2" t="s">
        <v>38</v>
      </c>
      <c r="E429" s="2" t="s">
        <v>56</v>
      </c>
    </row>
    <row r="430" spans="1:5" ht="13" x14ac:dyDescent="0.15">
      <c r="A430" s="2" t="s">
        <v>19</v>
      </c>
      <c r="B430" s="2">
        <v>164264</v>
      </c>
      <c r="C430" s="2" t="s">
        <v>49</v>
      </c>
      <c r="D430" s="2" t="s">
        <v>37</v>
      </c>
      <c r="E430" s="2" t="s">
        <v>56</v>
      </c>
    </row>
    <row r="431" spans="1:5" ht="13" x14ac:dyDescent="0.15">
      <c r="A431" s="2" t="s">
        <v>19</v>
      </c>
      <c r="B431" s="2">
        <v>155965</v>
      </c>
      <c r="C431" s="2" t="s">
        <v>49</v>
      </c>
      <c r="D431" s="2" t="s">
        <v>38</v>
      </c>
      <c r="E431" s="2" t="s">
        <v>56</v>
      </c>
    </row>
    <row r="432" spans="1:5" ht="13" x14ac:dyDescent="0.15">
      <c r="A432" s="2" t="s">
        <v>19</v>
      </c>
      <c r="B432" s="2">
        <v>167945</v>
      </c>
      <c r="C432" s="2" t="s">
        <v>50</v>
      </c>
      <c r="D432" s="2" t="s">
        <v>37</v>
      </c>
      <c r="E432" s="2" t="s">
        <v>56</v>
      </c>
    </row>
    <row r="433" spans="1:5" ht="13" x14ac:dyDescent="0.15">
      <c r="A433" s="2" t="s">
        <v>19</v>
      </c>
      <c r="B433" s="2">
        <v>156116</v>
      </c>
      <c r="C433" s="2" t="s">
        <v>50</v>
      </c>
      <c r="D433" s="2" t="s">
        <v>38</v>
      </c>
      <c r="E433" s="2" t="s">
        <v>56</v>
      </c>
    </row>
    <row r="434" spans="1:5" ht="13" x14ac:dyDescent="0.15">
      <c r="A434" s="2" t="s">
        <v>19</v>
      </c>
      <c r="B434" s="2">
        <v>167648</v>
      </c>
      <c r="C434" s="2" t="s">
        <v>51</v>
      </c>
      <c r="D434" s="2" t="s">
        <v>37</v>
      </c>
      <c r="E434" s="2" t="s">
        <v>56</v>
      </c>
    </row>
    <row r="435" spans="1:5" ht="13" x14ac:dyDescent="0.15">
      <c r="A435" s="2" t="s">
        <v>19</v>
      </c>
      <c r="B435" s="2">
        <v>159528</v>
      </c>
      <c r="C435" s="2" t="s">
        <v>51</v>
      </c>
      <c r="D435" s="2" t="s">
        <v>38</v>
      </c>
      <c r="E435" s="2" t="s">
        <v>56</v>
      </c>
    </row>
    <row r="436" spans="1:5" ht="13" x14ac:dyDescent="0.15">
      <c r="A436" s="2" t="s">
        <v>19</v>
      </c>
      <c r="B436" s="2">
        <v>148609</v>
      </c>
      <c r="C436" s="2" t="s">
        <v>52</v>
      </c>
      <c r="D436" s="2" t="s">
        <v>37</v>
      </c>
      <c r="E436" s="2" t="s">
        <v>56</v>
      </c>
    </row>
    <row r="437" spans="1:5" ht="13" x14ac:dyDescent="0.15">
      <c r="A437" s="2" t="s">
        <v>19</v>
      </c>
      <c r="B437" s="2">
        <v>147668</v>
      </c>
      <c r="C437" s="2" t="s">
        <v>52</v>
      </c>
      <c r="D437" s="2" t="s">
        <v>38</v>
      </c>
      <c r="E437" s="2" t="s">
        <v>56</v>
      </c>
    </row>
    <row r="438" spans="1:5" ht="13" x14ac:dyDescent="0.15">
      <c r="A438" s="2" t="s">
        <v>19</v>
      </c>
      <c r="B438" s="2">
        <v>130226</v>
      </c>
      <c r="C438" s="2" t="s">
        <v>53</v>
      </c>
      <c r="D438" s="2" t="s">
        <v>37</v>
      </c>
      <c r="E438" s="2" t="s">
        <v>56</v>
      </c>
    </row>
    <row r="439" spans="1:5" ht="13" x14ac:dyDescent="0.15">
      <c r="A439" s="2" t="s">
        <v>19</v>
      </c>
      <c r="B439" s="2">
        <v>135169</v>
      </c>
      <c r="C439" s="2" t="s">
        <v>53</v>
      </c>
      <c r="D439" s="2" t="s">
        <v>38</v>
      </c>
      <c r="E439" s="2" t="s">
        <v>56</v>
      </c>
    </row>
    <row r="440" spans="1:5" ht="13" x14ac:dyDescent="0.15">
      <c r="A440" s="2" t="s">
        <v>19</v>
      </c>
      <c r="B440" s="2">
        <v>118299</v>
      </c>
      <c r="C440" s="2" t="s">
        <v>54</v>
      </c>
      <c r="D440" s="2" t="s">
        <v>37</v>
      </c>
      <c r="E440" s="2" t="s">
        <v>56</v>
      </c>
    </row>
    <row r="441" spans="1:5" ht="13" x14ac:dyDescent="0.15">
      <c r="A441" s="2" t="s">
        <v>19</v>
      </c>
      <c r="B441" s="2">
        <v>123443</v>
      </c>
      <c r="C441" s="2" t="s">
        <v>54</v>
      </c>
      <c r="D441" s="2" t="s">
        <v>38</v>
      </c>
      <c r="E441" s="2" t="s">
        <v>56</v>
      </c>
    </row>
    <row r="442" spans="1:5" ht="13" x14ac:dyDescent="0.15">
      <c r="A442" s="2" t="s">
        <v>19</v>
      </c>
      <c r="B442" s="2">
        <v>103271</v>
      </c>
      <c r="C442" s="2" t="s">
        <v>55</v>
      </c>
      <c r="D442" s="2" t="s">
        <v>37</v>
      </c>
      <c r="E442" s="2" t="s">
        <v>56</v>
      </c>
    </row>
    <row r="443" spans="1:5" ht="13" x14ac:dyDescent="0.15">
      <c r="A443" s="2" t="s">
        <v>19</v>
      </c>
      <c r="B443" s="2">
        <v>112317</v>
      </c>
      <c r="C443" s="2" t="s">
        <v>55</v>
      </c>
      <c r="D443" s="2" t="s">
        <v>38</v>
      </c>
      <c r="E443" s="2" t="s">
        <v>56</v>
      </c>
    </row>
    <row r="444" spans="1:5" ht="13" x14ac:dyDescent="0.15">
      <c r="A444" s="2" t="s">
        <v>19</v>
      </c>
      <c r="B444" s="2">
        <v>144238</v>
      </c>
      <c r="C444" s="2" t="s">
        <v>42</v>
      </c>
      <c r="D444" s="2" t="s">
        <v>37</v>
      </c>
      <c r="E444" s="2" t="s">
        <v>57</v>
      </c>
    </row>
    <row r="445" spans="1:5" ht="13" x14ac:dyDescent="0.15">
      <c r="A445" s="2" t="s">
        <v>19</v>
      </c>
      <c r="B445" s="2">
        <v>135306</v>
      </c>
      <c r="C445" s="2" t="s">
        <v>42</v>
      </c>
      <c r="D445" s="2" t="s">
        <v>38</v>
      </c>
      <c r="E445" s="2" t="s">
        <v>57</v>
      </c>
    </row>
    <row r="446" spans="1:5" ht="13" x14ac:dyDescent="0.15">
      <c r="A446" s="2" t="s">
        <v>19</v>
      </c>
      <c r="B446" s="2">
        <v>145801</v>
      </c>
      <c r="C446" s="2" t="s">
        <v>44</v>
      </c>
      <c r="D446" s="2" t="s">
        <v>37</v>
      </c>
      <c r="E446" s="2" t="s">
        <v>57</v>
      </c>
    </row>
    <row r="447" spans="1:5" ht="13" x14ac:dyDescent="0.15">
      <c r="A447" s="2" t="s">
        <v>19</v>
      </c>
      <c r="B447" s="2">
        <v>130083</v>
      </c>
      <c r="C447" s="2" t="s">
        <v>44</v>
      </c>
      <c r="D447" s="2" t="s">
        <v>38</v>
      </c>
      <c r="E447" s="2" t="s">
        <v>57</v>
      </c>
    </row>
    <row r="448" spans="1:5" ht="13" x14ac:dyDescent="0.15">
      <c r="A448" s="2" t="s">
        <v>19</v>
      </c>
      <c r="B448" s="2">
        <v>167717</v>
      </c>
      <c r="C448" s="2" t="s">
        <v>45</v>
      </c>
      <c r="D448" s="2" t="s">
        <v>37</v>
      </c>
      <c r="E448" s="2" t="s">
        <v>57</v>
      </c>
    </row>
    <row r="449" spans="1:5" ht="13" x14ac:dyDescent="0.15">
      <c r="A449" s="2" t="s">
        <v>19</v>
      </c>
      <c r="B449" s="2">
        <v>159177</v>
      </c>
      <c r="C449" s="2" t="s">
        <v>45</v>
      </c>
      <c r="D449" s="2" t="s">
        <v>38</v>
      </c>
      <c r="E449" s="2" t="s">
        <v>57</v>
      </c>
    </row>
    <row r="450" spans="1:5" ht="13" x14ac:dyDescent="0.15">
      <c r="A450" s="2" t="s">
        <v>19</v>
      </c>
      <c r="B450" s="2">
        <v>161224</v>
      </c>
      <c r="C450" s="2" t="s">
        <v>46</v>
      </c>
      <c r="D450" s="2" t="s">
        <v>37</v>
      </c>
      <c r="E450" s="2" t="s">
        <v>57</v>
      </c>
    </row>
    <row r="451" spans="1:5" ht="13" x14ac:dyDescent="0.15">
      <c r="A451" s="2" t="s">
        <v>19</v>
      </c>
      <c r="B451" s="2">
        <v>150599</v>
      </c>
      <c r="C451" s="2" t="s">
        <v>46</v>
      </c>
      <c r="D451" s="2" t="s">
        <v>38</v>
      </c>
      <c r="E451" s="2" t="s">
        <v>57</v>
      </c>
    </row>
    <row r="452" spans="1:5" ht="13" x14ac:dyDescent="0.15">
      <c r="A452" s="2" t="s">
        <v>19</v>
      </c>
      <c r="B452" s="2">
        <v>132911</v>
      </c>
      <c r="C452" s="2" t="s">
        <v>47</v>
      </c>
      <c r="D452" s="2" t="s">
        <v>37</v>
      </c>
      <c r="E452" s="2" t="s">
        <v>57</v>
      </c>
    </row>
    <row r="453" spans="1:5" ht="13" x14ac:dyDescent="0.15">
      <c r="A453" s="2" t="s">
        <v>19</v>
      </c>
      <c r="B453" s="2">
        <v>122164</v>
      </c>
      <c r="C453" s="2" t="s">
        <v>47</v>
      </c>
      <c r="D453" s="2" t="s">
        <v>38</v>
      </c>
      <c r="E453" s="2" t="s">
        <v>57</v>
      </c>
    </row>
    <row r="454" spans="1:5" ht="13" x14ac:dyDescent="0.15">
      <c r="A454" s="2" t="s">
        <v>19</v>
      </c>
      <c r="B454" s="2">
        <v>141031</v>
      </c>
      <c r="C454" s="2" t="s">
        <v>48</v>
      </c>
      <c r="D454" s="2" t="s">
        <v>37</v>
      </c>
      <c r="E454" s="2" t="s">
        <v>57</v>
      </c>
    </row>
    <row r="455" spans="1:5" ht="13" x14ac:dyDescent="0.15">
      <c r="A455" s="2" t="s">
        <v>19</v>
      </c>
      <c r="B455" s="2">
        <v>134282</v>
      </c>
      <c r="C455" s="2" t="s">
        <v>48</v>
      </c>
      <c r="D455" s="2" t="s">
        <v>38</v>
      </c>
      <c r="E455" s="2" t="s">
        <v>57</v>
      </c>
    </row>
    <row r="456" spans="1:5" ht="13" x14ac:dyDescent="0.15">
      <c r="A456" s="2" t="s">
        <v>19</v>
      </c>
      <c r="B456" s="2">
        <v>152657</v>
      </c>
      <c r="C456" s="2" t="s">
        <v>49</v>
      </c>
      <c r="D456" s="2" t="s">
        <v>37</v>
      </c>
      <c r="E456" s="2" t="s">
        <v>57</v>
      </c>
    </row>
    <row r="457" spans="1:5" ht="13" x14ac:dyDescent="0.15">
      <c r="A457" s="2" t="s">
        <v>19</v>
      </c>
      <c r="B457" s="2">
        <v>146244</v>
      </c>
      <c r="C457" s="2" t="s">
        <v>49</v>
      </c>
      <c r="D457" s="2" t="s">
        <v>38</v>
      </c>
      <c r="E457" s="2" t="s">
        <v>57</v>
      </c>
    </row>
    <row r="458" spans="1:5" ht="13" x14ac:dyDescent="0.15">
      <c r="A458" s="2" t="s">
        <v>19</v>
      </c>
      <c r="B458" s="2">
        <v>150145</v>
      </c>
      <c r="C458" s="2" t="s">
        <v>50</v>
      </c>
      <c r="D458" s="2" t="s">
        <v>37</v>
      </c>
      <c r="E458" s="2" t="s">
        <v>57</v>
      </c>
    </row>
    <row r="459" spans="1:5" ht="13" x14ac:dyDescent="0.15">
      <c r="A459" s="2" t="s">
        <v>19</v>
      </c>
      <c r="B459" s="2">
        <v>143934</v>
      </c>
      <c r="C459" s="2" t="s">
        <v>50</v>
      </c>
      <c r="D459" s="2" t="s">
        <v>38</v>
      </c>
      <c r="E459" s="2" t="s">
        <v>57</v>
      </c>
    </row>
    <row r="460" spans="1:5" ht="13" x14ac:dyDescent="0.15">
      <c r="A460" s="2" t="s">
        <v>19</v>
      </c>
      <c r="B460" s="2">
        <v>153517</v>
      </c>
      <c r="C460" s="2" t="s">
        <v>51</v>
      </c>
      <c r="D460" s="2" t="s">
        <v>37</v>
      </c>
      <c r="E460" s="2" t="s">
        <v>57</v>
      </c>
    </row>
    <row r="461" spans="1:5" ht="13" x14ac:dyDescent="0.15">
      <c r="A461" s="2" t="s">
        <v>19</v>
      </c>
      <c r="B461" s="2">
        <v>147888</v>
      </c>
      <c r="C461" s="2" t="s">
        <v>51</v>
      </c>
      <c r="D461" s="2" t="s">
        <v>38</v>
      </c>
      <c r="E461" s="2" t="s">
        <v>57</v>
      </c>
    </row>
    <row r="462" spans="1:5" ht="13" x14ac:dyDescent="0.15">
      <c r="A462" s="2" t="s">
        <v>19</v>
      </c>
      <c r="B462" s="2">
        <v>153342</v>
      </c>
      <c r="C462" s="2" t="s">
        <v>52</v>
      </c>
      <c r="D462" s="2" t="s">
        <v>37</v>
      </c>
      <c r="E462" s="2" t="s">
        <v>57</v>
      </c>
    </row>
    <row r="463" spans="1:5" ht="13" x14ac:dyDescent="0.15">
      <c r="A463" s="2" t="s">
        <v>19</v>
      </c>
      <c r="B463" s="2">
        <v>151504</v>
      </c>
      <c r="C463" s="2" t="s">
        <v>52</v>
      </c>
      <c r="D463" s="2" t="s">
        <v>38</v>
      </c>
      <c r="E463" s="2" t="s">
        <v>57</v>
      </c>
    </row>
    <row r="464" spans="1:5" ht="13" x14ac:dyDescent="0.15">
      <c r="A464" s="2" t="s">
        <v>19</v>
      </c>
      <c r="B464" s="2">
        <v>136363</v>
      </c>
      <c r="C464" s="2" t="s">
        <v>53</v>
      </c>
      <c r="D464" s="2" t="s">
        <v>37</v>
      </c>
      <c r="E464" s="2" t="s">
        <v>57</v>
      </c>
    </row>
    <row r="465" spans="1:5" ht="13" x14ac:dyDescent="0.15">
      <c r="A465" s="2" t="s">
        <v>19</v>
      </c>
      <c r="B465" s="2">
        <v>140995</v>
      </c>
      <c r="C465" s="2" t="s">
        <v>53</v>
      </c>
      <c r="D465" s="2" t="s">
        <v>38</v>
      </c>
      <c r="E465" s="2" t="s">
        <v>57</v>
      </c>
    </row>
    <row r="466" spans="1:5" ht="13" x14ac:dyDescent="0.15">
      <c r="A466" s="2" t="s">
        <v>19</v>
      </c>
      <c r="B466" s="2">
        <v>113537</v>
      </c>
      <c r="C466" s="2" t="s">
        <v>54</v>
      </c>
      <c r="D466" s="2" t="s">
        <v>37</v>
      </c>
      <c r="E466" s="2" t="s">
        <v>57</v>
      </c>
    </row>
    <row r="467" spans="1:5" ht="13" x14ac:dyDescent="0.15">
      <c r="A467" s="2" t="s">
        <v>19</v>
      </c>
      <c r="B467" s="2">
        <v>122388</v>
      </c>
      <c r="C467" s="2" t="s">
        <v>54</v>
      </c>
      <c r="D467" s="2" t="s">
        <v>38</v>
      </c>
      <c r="E467" s="2" t="s">
        <v>57</v>
      </c>
    </row>
    <row r="468" spans="1:5" ht="13" x14ac:dyDescent="0.15">
      <c r="A468" s="2" t="s">
        <v>19</v>
      </c>
      <c r="B468" s="2">
        <v>103760</v>
      </c>
      <c r="C468" s="2" t="s">
        <v>55</v>
      </c>
      <c r="D468" s="2" t="s">
        <v>37</v>
      </c>
      <c r="E468" s="2" t="s">
        <v>57</v>
      </c>
    </row>
    <row r="469" spans="1:5" ht="13" x14ac:dyDescent="0.15">
      <c r="A469" s="2" t="s">
        <v>19</v>
      </c>
      <c r="B469" s="2">
        <v>112183</v>
      </c>
      <c r="C469" s="2" t="s">
        <v>55</v>
      </c>
      <c r="D469" s="2" t="s">
        <v>38</v>
      </c>
      <c r="E469" s="2" t="s">
        <v>57</v>
      </c>
    </row>
    <row r="470" spans="1:5" ht="13" x14ac:dyDescent="0.15">
      <c r="A470" s="2" t="s">
        <v>21</v>
      </c>
      <c r="B470" s="2">
        <v>41350</v>
      </c>
      <c r="C470" s="2" t="s">
        <v>42</v>
      </c>
      <c r="D470" s="2" t="s">
        <v>37</v>
      </c>
      <c r="E470" s="2" t="s">
        <v>43</v>
      </c>
    </row>
    <row r="471" spans="1:5" ht="13" x14ac:dyDescent="0.15">
      <c r="A471" s="2" t="s">
        <v>21</v>
      </c>
      <c r="B471" s="2">
        <v>38474</v>
      </c>
      <c r="C471" s="2" t="s">
        <v>42</v>
      </c>
      <c r="D471" s="2" t="s">
        <v>38</v>
      </c>
      <c r="E471" s="2" t="s">
        <v>43</v>
      </c>
    </row>
    <row r="472" spans="1:5" ht="13" x14ac:dyDescent="0.15">
      <c r="A472" s="2" t="s">
        <v>21</v>
      </c>
      <c r="B472" s="2">
        <v>41429</v>
      </c>
      <c r="C472" s="2" t="s">
        <v>44</v>
      </c>
      <c r="D472" s="2" t="s">
        <v>37</v>
      </c>
      <c r="E472" s="2" t="s">
        <v>43</v>
      </c>
    </row>
    <row r="473" spans="1:5" ht="13" x14ac:dyDescent="0.15">
      <c r="A473" s="2" t="s">
        <v>21</v>
      </c>
      <c r="B473" s="2">
        <v>37580</v>
      </c>
      <c r="C473" s="2" t="s">
        <v>44</v>
      </c>
      <c r="D473" s="2" t="s">
        <v>38</v>
      </c>
      <c r="E473" s="2" t="s">
        <v>43</v>
      </c>
    </row>
    <row r="474" spans="1:5" ht="13" x14ac:dyDescent="0.15">
      <c r="A474" s="2" t="s">
        <v>21</v>
      </c>
      <c r="B474" s="2">
        <v>34425</v>
      </c>
      <c r="C474" s="2" t="s">
        <v>45</v>
      </c>
      <c r="D474" s="2" t="s">
        <v>37</v>
      </c>
      <c r="E474" s="2" t="s">
        <v>43</v>
      </c>
    </row>
    <row r="475" spans="1:5" ht="13" x14ac:dyDescent="0.15">
      <c r="A475" s="2" t="s">
        <v>21</v>
      </c>
      <c r="B475" s="2">
        <v>31043</v>
      </c>
      <c r="C475" s="2" t="s">
        <v>45</v>
      </c>
      <c r="D475" s="2" t="s">
        <v>38</v>
      </c>
      <c r="E475" s="2" t="s">
        <v>43</v>
      </c>
    </row>
    <row r="476" spans="1:5" ht="13" x14ac:dyDescent="0.15">
      <c r="A476" s="2" t="s">
        <v>21</v>
      </c>
      <c r="B476" s="2">
        <v>37658</v>
      </c>
      <c r="C476" s="2" t="s">
        <v>46</v>
      </c>
      <c r="D476" s="2" t="s">
        <v>37</v>
      </c>
      <c r="E476" s="2" t="s">
        <v>43</v>
      </c>
    </row>
    <row r="477" spans="1:5" ht="13" x14ac:dyDescent="0.15">
      <c r="A477" s="2" t="s">
        <v>21</v>
      </c>
      <c r="B477" s="2">
        <v>34637</v>
      </c>
      <c r="C477" s="2" t="s">
        <v>46</v>
      </c>
      <c r="D477" s="2" t="s">
        <v>38</v>
      </c>
      <c r="E477" s="2" t="s">
        <v>43</v>
      </c>
    </row>
    <row r="478" spans="1:5" ht="13" x14ac:dyDescent="0.15">
      <c r="A478" s="2" t="s">
        <v>21</v>
      </c>
      <c r="B478" s="2">
        <v>37865</v>
      </c>
      <c r="C478" s="2" t="s">
        <v>47</v>
      </c>
      <c r="D478" s="2" t="s">
        <v>37</v>
      </c>
      <c r="E478" s="2" t="s">
        <v>43</v>
      </c>
    </row>
    <row r="479" spans="1:5" ht="13" x14ac:dyDescent="0.15">
      <c r="A479" s="2" t="s">
        <v>21</v>
      </c>
      <c r="B479" s="2">
        <v>35415</v>
      </c>
      <c r="C479" s="2" t="s">
        <v>47</v>
      </c>
      <c r="D479" s="2" t="s">
        <v>38</v>
      </c>
      <c r="E479" s="2" t="s">
        <v>43</v>
      </c>
    </row>
    <row r="480" spans="1:5" ht="13" x14ac:dyDescent="0.15">
      <c r="A480" s="2" t="s">
        <v>21</v>
      </c>
      <c r="B480" s="2">
        <v>39096</v>
      </c>
      <c r="C480" s="2" t="s">
        <v>48</v>
      </c>
      <c r="D480" s="2" t="s">
        <v>37</v>
      </c>
      <c r="E480" s="2" t="s">
        <v>43</v>
      </c>
    </row>
    <row r="481" spans="1:5" ht="13" x14ac:dyDescent="0.15">
      <c r="A481" s="2" t="s">
        <v>21</v>
      </c>
      <c r="B481" s="2">
        <v>36698</v>
      </c>
      <c r="C481" s="2" t="s">
        <v>48</v>
      </c>
      <c r="D481" s="2" t="s">
        <v>38</v>
      </c>
      <c r="E481" s="2" t="s">
        <v>43</v>
      </c>
    </row>
    <row r="482" spans="1:5" ht="13" x14ac:dyDescent="0.15">
      <c r="A482" s="2" t="s">
        <v>21</v>
      </c>
      <c r="B482" s="2">
        <v>38406</v>
      </c>
      <c r="C482" s="2" t="s">
        <v>49</v>
      </c>
      <c r="D482" s="2" t="s">
        <v>37</v>
      </c>
      <c r="E482" s="2" t="s">
        <v>43</v>
      </c>
    </row>
    <row r="483" spans="1:5" ht="13" x14ac:dyDescent="0.15">
      <c r="A483" s="2" t="s">
        <v>21</v>
      </c>
      <c r="B483" s="2">
        <v>35939</v>
      </c>
      <c r="C483" s="2" t="s">
        <v>49</v>
      </c>
      <c r="D483" s="2" t="s">
        <v>38</v>
      </c>
      <c r="E483" s="2" t="s">
        <v>43</v>
      </c>
    </row>
    <row r="484" spans="1:5" ht="13" x14ac:dyDescent="0.15">
      <c r="A484" s="2" t="s">
        <v>21</v>
      </c>
      <c r="B484" s="2">
        <v>41909</v>
      </c>
      <c r="C484" s="2" t="s">
        <v>50</v>
      </c>
      <c r="D484" s="2" t="s">
        <v>37</v>
      </c>
      <c r="E484" s="2" t="s">
        <v>43</v>
      </c>
    </row>
    <row r="485" spans="1:5" ht="13" x14ac:dyDescent="0.15">
      <c r="A485" s="2" t="s">
        <v>21</v>
      </c>
      <c r="B485" s="2">
        <v>37672</v>
      </c>
      <c r="C485" s="2" t="s">
        <v>50</v>
      </c>
      <c r="D485" s="2" t="s">
        <v>38</v>
      </c>
      <c r="E485" s="2" t="s">
        <v>43</v>
      </c>
    </row>
    <row r="486" spans="1:5" ht="13" x14ac:dyDescent="0.15">
      <c r="A486" s="2" t="s">
        <v>21</v>
      </c>
      <c r="B486" s="2">
        <v>36518</v>
      </c>
      <c r="C486" s="2" t="s">
        <v>51</v>
      </c>
      <c r="D486" s="2" t="s">
        <v>37</v>
      </c>
      <c r="E486" s="2" t="s">
        <v>43</v>
      </c>
    </row>
    <row r="487" spans="1:5" ht="13" x14ac:dyDescent="0.15">
      <c r="A487" s="2" t="s">
        <v>21</v>
      </c>
      <c r="B487" s="2">
        <v>36202</v>
      </c>
      <c r="C487" s="2" t="s">
        <v>51</v>
      </c>
      <c r="D487" s="2" t="s">
        <v>38</v>
      </c>
      <c r="E487" s="2" t="s">
        <v>43</v>
      </c>
    </row>
    <row r="488" spans="1:5" ht="13" x14ac:dyDescent="0.15">
      <c r="A488" s="2" t="s">
        <v>21</v>
      </c>
      <c r="B488" s="2">
        <v>31405</v>
      </c>
      <c r="C488" s="2" t="s">
        <v>52</v>
      </c>
      <c r="D488" s="2" t="s">
        <v>37</v>
      </c>
      <c r="E488" s="2" t="s">
        <v>43</v>
      </c>
    </row>
    <row r="489" spans="1:5" ht="13" x14ac:dyDescent="0.15">
      <c r="A489" s="2" t="s">
        <v>21</v>
      </c>
      <c r="B489" s="2">
        <v>31768</v>
      </c>
      <c r="C489" s="2" t="s">
        <v>52</v>
      </c>
      <c r="D489" s="2" t="s">
        <v>38</v>
      </c>
      <c r="E489" s="2" t="s">
        <v>43</v>
      </c>
    </row>
    <row r="490" spans="1:5" ht="13" x14ac:dyDescent="0.15">
      <c r="A490" s="2" t="s">
        <v>21</v>
      </c>
      <c r="B490" s="2">
        <v>27576</v>
      </c>
      <c r="C490" s="2" t="s">
        <v>53</v>
      </c>
      <c r="D490" s="2" t="s">
        <v>37</v>
      </c>
      <c r="E490" s="2" t="s">
        <v>43</v>
      </c>
    </row>
    <row r="491" spans="1:5" ht="13" x14ac:dyDescent="0.15">
      <c r="A491" s="2" t="s">
        <v>21</v>
      </c>
      <c r="B491" s="2">
        <v>29770</v>
      </c>
      <c r="C491" s="2" t="s">
        <v>53</v>
      </c>
      <c r="D491" s="2" t="s">
        <v>38</v>
      </c>
      <c r="E491" s="2" t="s">
        <v>43</v>
      </c>
    </row>
    <row r="492" spans="1:5" ht="13" x14ac:dyDescent="0.15">
      <c r="A492" s="2" t="s">
        <v>21</v>
      </c>
      <c r="B492" s="2">
        <v>23815</v>
      </c>
      <c r="C492" s="2" t="s">
        <v>54</v>
      </c>
      <c r="D492" s="2" t="s">
        <v>37</v>
      </c>
      <c r="E492" s="2" t="s">
        <v>43</v>
      </c>
    </row>
    <row r="493" spans="1:5" ht="13" x14ac:dyDescent="0.15">
      <c r="A493" s="2" t="s">
        <v>21</v>
      </c>
      <c r="B493" s="2">
        <v>25995</v>
      </c>
      <c r="C493" s="2" t="s">
        <v>54</v>
      </c>
      <c r="D493" s="2" t="s">
        <v>38</v>
      </c>
      <c r="E493" s="2" t="s">
        <v>43</v>
      </c>
    </row>
    <row r="494" spans="1:5" ht="13" x14ac:dyDescent="0.15">
      <c r="A494" s="2" t="s">
        <v>21</v>
      </c>
      <c r="B494" s="2">
        <v>19740</v>
      </c>
      <c r="C494" s="2" t="s">
        <v>55</v>
      </c>
      <c r="D494" s="2" t="s">
        <v>37</v>
      </c>
      <c r="E494" s="2" t="s">
        <v>43</v>
      </c>
    </row>
    <row r="495" spans="1:5" ht="13" x14ac:dyDescent="0.15">
      <c r="A495" s="2" t="s">
        <v>21</v>
      </c>
      <c r="B495" s="2">
        <v>22637</v>
      </c>
      <c r="C495" s="2" t="s">
        <v>55</v>
      </c>
      <c r="D495" s="2" t="s">
        <v>38</v>
      </c>
      <c r="E495" s="2" t="s">
        <v>43</v>
      </c>
    </row>
    <row r="496" spans="1:5" ht="13" x14ac:dyDescent="0.15">
      <c r="A496" s="2" t="s">
        <v>21</v>
      </c>
      <c r="B496" s="2">
        <v>35179</v>
      </c>
      <c r="C496" s="2" t="s">
        <v>42</v>
      </c>
      <c r="D496" s="2" t="s">
        <v>37</v>
      </c>
      <c r="E496" s="2" t="s">
        <v>56</v>
      </c>
    </row>
    <row r="497" spans="1:5" ht="13" x14ac:dyDescent="0.15">
      <c r="A497" s="2" t="s">
        <v>21</v>
      </c>
      <c r="B497" s="2">
        <v>31773</v>
      </c>
      <c r="C497" s="2" t="s">
        <v>42</v>
      </c>
      <c r="D497" s="2" t="s">
        <v>38</v>
      </c>
      <c r="E497" s="2" t="s">
        <v>56</v>
      </c>
    </row>
    <row r="498" spans="1:5" ht="13" x14ac:dyDescent="0.15">
      <c r="A498" s="2" t="s">
        <v>21</v>
      </c>
      <c r="B498" s="2">
        <v>43884</v>
      </c>
      <c r="C498" s="2" t="s">
        <v>44</v>
      </c>
      <c r="D498" s="2" t="s">
        <v>37</v>
      </c>
      <c r="E498" s="2" t="s">
        <v>56</v>
      </c>
    </row>
    <row r="499" spans="1:5" ht="13" x14ac:dyDescent="0.15">
      <c r="A499" s="2" t="s">
        <v>21</v>
      </c>
      <c r="B499" s="2">
        <v>39686</v>
      </c>
      <c r="C499" s="2" t="s">
        <v>44</v>
      </c>
      <c r="D499" s="2" t="s">
        <v>38</v>
      </c>
      <c r="E499" s="2" t="s">
        <v>56</v>
      </c>
    </row>
    <row r="500" spans="1:5" ht="13" x14ac:dyDescent="0.15">
      <c r="A500" s="2" t="s">
        <v>21</v>
      </c>
      <c r="B500" s="2">
        <v>39992</v>
      </c>
      <c r="C500" s="2" t="s">
        <v>45</v>
      </c>
      <c r="D500" s="2" t="s">
        <v>37</v>
      </c>
      <c r="E500" s="2" t="s">
        <v>56</v>
      </c>
    </row>
    <row r="501" spans="1:5" ht="13" x14ac:dyDescent="0.15">
      <c r="A501" s="2" t="s">
        <v>21</v>
      </c>
      <c r="B501" s="2">
        <v>36861</v>
      </c>
      <c r="C501" s="2" t="s">
        <v>45</v>
      </c>
      <c r="D501" s="2" t="s">
        <v>38</v>
      </c>
      <c r="E501" s="2" t="s">
        <v>56</v>
      </c>
    </row>
    <row r="502" spans="1:5" ht="13" x14ac:dyDescent="0.15">
      <c r="A502" s="2" t="s">
        <v>21</v>
      </c>
      <c r="B502" s="2">
        <v>34001</v>
      </c>
      <c r="C502" s="2" t="s">
        <v>46</v>
      </c>
      <c r="D502" s="2" t="s">
        <v>37</v>
      </c>
      <c r="E502" s="2" t="s">
        <v>56</v>
      </c>
    </row>
    <row r="503" spans="1:5" ht="13" x14ac:dyDescent="0.15">
      <c r="A503" s="2" t="s">
        <v>21</v>
      </c>
      <c r="B503" s="2">
        <v>30968</v>
      </c>
      <c r="C503" s="2" t="s">
        <v>46</v>
      </c>
      <c r="D503" s="2" t="s">
        <v>38</v>
      </c>
      <c r="E503" s="2" t="s">
        <v>56</v>
      </c>
    </row>
    <row r="504" spans="1:5" ht="13" x14ac:dyDescent="0.15">
      <c r="A504" s="2" t="s">
        <v>21</v>
      </c>
      <c r="B504" s="2">
        <v>37018</v>
      </c>
      <c r="C504" s="2" t="s">
        <v>47</v>
      </c>
      <c r="D504" s="2" t="s">
        <v>37</v>
      </c>
      <c r="E504" s="2" t="s">
        <v>56</v>
      </c>
    </row>
    <row r="505" spans="1:5" ht="13" x14ac:dyDescent="0.15">
      <c r="A505" s="2" t="s">
        <v>21</v>
      </c>
      <c r="B505" s="2">
        <v>34406</v>
      </c>
      <c r="C505" s="2" t="s">
        <v>47</v>
      </c>
      <c r="D505" s="2" t="s">
        <v>38</v>
      </c>
      <c r="E505" s="2" t="s">
        <v>56</v>
      </c>
    </row>
    <row r="506" spans="1:5" ht="13" x14ac:dyDescent="0.15">
      <c r="A506" s="2" t="s">
        <v>21</v>
      </c>
      <c r="B506" s="2">
        <v>37507</v>
      </c>
      <c r="C506" s="2" t="s">
        <v>48</v>
      </c>
      <c r="D506" s="2" t="s">
        <v>37</v>
      </c>
      <c r="E506" s="2" t="s">
        <v>56</v>
      </c>
    </row>
    <row r="507" spans="1:5" ht="13" x14ac:dyDescent="0.15">
      <c r="A507" s="2" t="s">
        <v>21</v>
      </c>
      <c r="B507" s="2">
        <v>35289</v>
      </c>
      <c r="C507" s="2" t="s">
        <v>48</v>
      </c>
      <c r="D507" s="2" t="s">
        <v>38</v>
      </c>
      <c r="E507" s="2" t="s">
        <v>56</v>
      </c>
    </row>
    <row r="508" spans="1:5" ht="13" x14ac:dyDescent="0.15">
      <c r="A508" s="2" t="s">
        <v>21</v>
      </c>
      <c r="B508" s="2">
        <v>38024</v>
      </c>
      <c r="C508" s="2" t="s">
        <v>49</v>
      </c>
      <c r="D508" s="2" t="s">
        <v>37</v>
      </c>
      <c r="E508" s="2" t="s">
        <v>56</v>
      </c>
    </row>
    <row r="509" spans="1:5" ht="13" x14ac:dyDescent="0.15">
      <c r="A509" s="2" t="s">
        <v>21</v>
      </c>
      <c r="B509" s="2">
        <v>36258</v>
      </c>
      <c r="C509" s="2" t="s">
        <v>49</v>
      </c>
      <c r="D509" s="2" t="s">
        <v>38</v>
      </c>
      <c r="E509" s="2" t="s">
        <v>56</v>
      </c>
    </row>
    <row r="510" spans="1:5" ht="13" x14ac:dyDescent="0.15">
      <c r="A510" s="2" t="s">
        <v>21</v>
      </c>
      <c r="B510" s="2">
        <v>37887</v>
      </c>
      <c r="C510" s="2" t="s">
        <v>50</v>
      </c>
      <c r="D510" s="2" t="s">
        <v>37</v>
      </c>
      <c r="E510" s="2" t="s">
        <v>56</v>
      </c>
    </row>
    <row r="511" spans="1:5" ht="13" x14ac:dyDescent="0.15">
      <c r="A511" s="2" t="s">
        <v>21</v>
      </c>
      <c r="B511" s="2">
        <v>35060</v>
      </c>
      <c r="C511" s="2" t="s">
        <v>50</v>
      </c>
      <c r="D511" s="2" t="s">
        <v>38</v>
      </c>
      <c r="E511" s="2" t="s">
        <v>56</v>
      </c>
    </row>
    <row r="512" spans="1:5" ht="13" x14ac:dyDescent="0.15">
      <c r="A512" s="2" t="s">
        <v>21</v>
      </c>
      <c r="B512" s="2">
        <v>38817</v>
      </c>
      <c r="C512" s="2" t="s">
        <v>51</v>
      </c>
      <c r="D512" s="2" t="s">
        <v>37</v>
      </c>
      <c r="E512" s="2" t="s">
        <v>56</v>
      </c>
    </row>
    <row r="513" spans="1:5" ht="13" x14ac:dyDescent="0.15">
      <c r="A513" s="2" t="s">
        <v>21</v>
      </c>
      <c r="B513" s="2">
        <v>36378</v>
      </c>
      <c r="C513" s="2" t="s">
        <v>51</v>
      </c>
      <c r="D513" s="2" t="s">
        <v>38</v>
      </c>
      <c r="E513" s="2" t="s">
        <v>56</v>
      </c>
    </row>
    <row r="514" spans="1:5" ht="13" x14ac:dyDescent="0.15">
      <c r="A514" s="2" t="s">
        <v>21</v>
      </c>
      <c r="B514" s="2">
        <v>33920</v>
      </c>
      <c r="C514" s="2" t="s">
        <v>52</v>
      </c>
      <c r="D514" s="2" t="s">
        <v>37</v>
      </c>
      <c r="E514" s="2" t="s">
        <v>56</v>
      </c>
    </row>
    <row r="515" spans="1:5" ht="13" x14ac:dyDescent="0.15">
      <c r="A515" s="2" t="s">
        <v>21</v>
      </c>
      <c r="B515" s="2">
        <v>34814</v>
      </c>
      <c r="C515" s="2" t="s">
        <v>52</v>
      </c>
      <c r="D515" s="2" t="s">
        <v>38</v>
      </c>
      <c r="E515" s="2" t="s">
        <v>56</v>
      </c>
    </row>
    <row r="516" spans="1:5" ht="13" x14ac:dyDescent="0.15">
      <c r="A516" s="2" t="s">
        <v>21</v>
      </c>
      <c r="B516" s="2">
        <v>29187</v>
      </c>
      <c r="C516" s="2" t="s">
        <v>53</v>
      </c>
      <c r="D516" s="2" t="s">
        <v>37</v>
      </c>
      <c r="E516" s="2" t="s">
        <v>56</v>
      </c>
    </row>
    <row r="517" spans="1:5" ht="13" x14ac:dyDescent="0.15">
      <c r="A517" s="2" t="s">
        <v>21</v>
      </c>
      <c r="B517" s="2">
        <v>30539</v>
      </c>
      <c r="C517" s="2" t="s">
        <v>53</v>
      </c>
      <c r="D517" s="2" t="s">
        <v>38</v>
      </c>
      <c r="E517" s="2" t="s">
        <v>56</v>
      </c>
    </row>
    <row r="518" spans="1:5" ht="13" x14ac:dyDescent="0.15">
      <c r="A518" s="2" t="s">
        <v>21</v>
      </c>
      <c r="B518" s="2">
        <v>25601</v>
      </c>
      <c r="C518" s="2" t="s">
        <v>54</v>
      </c>
      <c r="D518" s="2" t="s">
        <v>37</v>
      </c>
      <c r="E518" s="2" t="s">
        <v>56</v>
      </c>
    </row>
    <row r="519" spans="1:5" ht="13" x14ac:dyDescent="0.15">
      <c r="A519" s="2" t="s">
        <v>21</v>
      </c>
      <c r="B519" s="2">
        <v>27432</v>
      </c>
      <c r="C519" s="2" t="s">
        <v>54</v>
      </c>
      <c r="D519" s="2" t="s">
        <v>38</v>
      </c>
      <c r="E519" s="2" t="s">
        <v>56</v>
      </c>
    </row>
    <row r="520" spans="1:5" ht="13" x14ac:dyDescent="0.15">
      <c r="A520" s="2" t="s">
        <v>21</v>
      </c>
      <c r="B520" s="2">
        <v>21585</v>
      </c>
      <c r="C520" s="2" t="s">
        <v>55</v>
      </c>
      <c r="D520" s="2" t="s">
        <v>37</v>
      </c>
      <c r="E520" s="2" t="s">
        <v>56</v>
      </c>
    </row>
    <row r="521" spans="1:5" ht="13" x14ac:dyDescent="0.15">
      <c r="A521" s="2" t="s">
        <v>21</v>
      </c>
      <c r="B521" s="2">
        <v>24410</v>
      </c>
      <c r="C521" s="2" t="s">
        <v>55</v>
      </c>
      <c r="D521" s="2" t="s">
        <v>38</v>
      </c>
      <c r="E521" s="2" t="s">
        <v>56</v>
      </c>
    </row>
    <row r="522" spans="1:5" ht="13" x14ac:dyDescent="0.15">
      <c r="A522" s="2" t="s">
        <v>21</v>
      </c>
      <c r="B522" s="2">
        <v>38522</v>
      </c>
      <c r="C522" s="2" t="s">
        <v>42</v>
      </c>
      <c r="D522" s="2" t="s">
        <v>37</v>
      </c>
      <c r="E522" s="2" t="s">
        <v>57</v>
      </c>
    </row>
    <row r="523" spans="1:5" ht="13" x14ac:dyDescent="0.15">
      <c r="A523" s="2" t="s">
        <v>21</v>
      </c>
      <c r="B523" s="2">
        <v>35740</v>
      </c>
      <c r="C523" s="2" t="s">
        <v>42</v>
      </c>
      <c r="D523" s="2" t="s">
        <v>38</v>
      </c>
      <c r="E523" s="2" t="s">
        <v>57</v>
      </c>
    </row>
    <row r="524" spans="1:5" ht="13" x14ac:dyDescent="0.15">
      <c r="A524" s="2" t="s">
        <v>21</v>
      </c>
      <c r="B524" s="2">
        <v>38307</v>
      </c>
      <c r="C524" s="2" t="s">
        <v>44</v>
      </c>
      <c r="D524" s="2" t="s">
        <v>37</v>
      </c>
      <c r="E524" s="2" t="s">
        <v>57</v>
      </c>
    </row>
    <row r="525" spans="1:5" ht="13" x14ac:dyDescent="0.15">
      <c r="A525" s="2" t="s">
        <v>21</v>
      </c>
      <c r="B525" s="2">
        <v>33186</v>
      </c>
      <c r="C525" s="2" t="s">
        <v>44</v>
      </c>
      <c r="D525" s="2" t="s">
        <v>38</v>
      </c>
      <c r="E525" s="2" t="s">
        <v>57</v>
      </c>
    </row>
    <row r="526" spans="1:5" ht="13" x14ac:dyDescent="0.15">
      <c r="A526" s="2" t="s">
        <v>21</v>
      </c>
      <c r="B526" s="2">
        <v>41487</v>
      </c>
      <c r="C526" s="2" t="s">
        <v>45</v>
      </c>
      <c r="D526" s="2" t="s">
        <v>37</v>
      </c>
      <c r="E526" s="2" t="s">
        <v>57</v>
      </c>
    </row>
    <row r="527" spans="1:5" ht="13" x14ac:dyDescent="0.15">
      <c r="A527" s="2" t="s">
        <v>21</v>
      </c>
      <c r="B527" s="2">
        <v>38195</v>
      </c>
      <c r="C527" s="2" t="s">
        <v>45</v>
      </c>
      <c r="D527" s="2" t="s">
        <v>38</v>
      </c>
      <c r="E527" s="2" t="s">
        <v>57</v>
      </c>
    </row>
    <row r="528" spans="1:5" ht="13" x14ac:dyDescent="0.15">
      <c r="A528" s="2" t="s">
        <v>21</v>
      </c>
      <c r="B528" s="2">
        <v>38845</v>
      </c>
      <c r="C528" s="2" t="s">
        <v>46</v>
      </c>
      <c r="D528" s="2" t="s">
        <v>37</v>
      </c>
      <c r="E528" s="2" t="s">
        <v>57</v>
      </c>
    </row>
    <row r="529" spans="1:5" ht="13" x14ac:dyDescent="0.15">
      <c r="A529" s="2" t="s">
        <v>21</v>
      </c>
      <c r="B529" s="2">
        <v>36025</v>
      </c>
      <c r="C529" s="2" t="s">
        <v>46</v>
      </c>
      <c r="D529" s="2" t="s">
        <v>38</v>
      </c>
      <c r="E529" s="2" t="s">
        <v>57</v>
      </c>
    </row>
    <row r="530" spans="1:5" ht="13" x14ac:dyDescent="0.15">
      <c r="A530" s="2" t="s">
        <v>21</v>
      </c>
      <c r="B530" s="2">
        <v>32916</v>
      </c>
      <c r="C530" s="2" t="s">
        <v>47</v>
      </c>
      <c r="D530" s="2" t="s">
        <v>37</v>
      </c>
      <c r="E530" s="2" t="s">
        <v>57</v>
      </c>
    </row>
    <row r="531" spans="1:5" ht="13" x14ac:dyDescent="0.15">
      <c r="A531" s="2" t="s">
        <v>21</v>
      </c>
      <c r="B531" s="2">
        <v>30363</v>
      </c>
      <c r="C531" s="2" t="s">
        <v>47</v>
      </c>
      <c r="D531" s="2" t="s">
        <v>38</v>
      </c>
      <c r="E531" s="2" t="s">
        <v>57</v>
      </c>
    </row>
    <row r="532" spans="1:5" ht="13" x14ac:dyDescent="0.15">
      <c r="A532" s="2" t="s">
        <v>21</v>
      </c>
      <c r="B532" s="2">
        <v>36004</v>
      </c>
      <c r="C532" s="2" t="s">
        <v>48</v>
      </c>
      <c r="D532" s="2" t="s">
        <v>37</v>
      </c>
      <c r="E532" s="2" t="s">
        <v>57</v>
      </c>
    </row>
    <row r="533" spans="1:5" ht="13" x14ac:dyDescent="0.15">
      <c r="A533" s="2" t="s">
        <v>21</v>
      </c>
      <c r="B533" s="2">
        <v>33752</v>
      </c>
      <c r="C533" s="2" t="s">
        <v>48</v>
      </c>
      <c r="D533" s="2" t="s">
        <v>38</v>
      </c>
      <c r="E533" s="2" t="s">
        <v>57</v>
      </c>
    </row>
    <row r="534" spans="1:5" ht="13" x14ac:dyDescent="0.15">
      <c r="A534" s="2" t="s">
        <v>21</v>
      </c>
      <c r="B534" s="2">
        <v>36338</v>
      </c>
      <c r="C534" s="2" t="s">
        <v>49</v>
      </c>
      <c r="D534" s="2" t="s">
        <v>37</v>
      </c>
      <c r="E534" s="2" t="s">
        <v>57</v>
      </c>
    </row>
    <row r="535" spans="1:5" ht="13" x14ac:dyDescent="0.15">
      <c r="A535" s="2" t="s">
        <v>21</v>
      </c>
      <c r="B535" s="2">
        <v>34716</v>
      </c>
      <c r="C535" s="2" t="s">
        <v>49</v>
      </c>
      <c r="D535" s="2" t="s">
        <v>38</v>
      </c>
      <c r="E535" s="2" t="s">
        <v>57</v>
      </c>
    </row>
    <row r="536" spans="1:5" ht="13" x14ac:dyDescent="0.15">
      <c r="A536" s="2" t="s">
        <v>21</v>
      </c>
      <c r="B536" s="2">
        <v>35168</v>
      </c>
      <c r="C536" s="2" t="s">
        <v>50</v>
      </c>
      <c r="D536" s="2" t="s">
        <v>37</v>
      </c>
      <c r="E536" s="2" t="s">
        <v>57</v>
      </c>
    </row>
    <row r="537" spans="1:5" ht="13" x14ac:dyDescent="0.15">
      <c r="A537" s="2" t="s">
        <v>21</v>
      </c>
      <c r="B537" s="2">
        <v>33553</v>
      </c>
      <c r="C537" s="2" t="s">
        <v>50</v>
      </c>
      <c r="D537" s="2" t="s">
        <v>38</v>
      </c>
      <c r="E537" s="2" t="s">
        <v>57</v>
      </c>
    </row>
    <row r="538" spans="1:5" ht="13" x14ac:dyDescent="0.15">
      <c r="A538" s="2" t="s">
        <v>21</v>
      </c>
      <c r="B538" s="2">
        <v>35446</v>
      </c>
      <c r="C538" s="2" t="s">
        <v>51</v>
      </c>
      <c r="D538" s="2" t="s">
        <v>37</v>
      </c>
      <c r="E538" s="2" t="s">
        <v>57</v>
      </c>
    </row>
    <row r="539" spans="1:5" ht="13" x14ac:dyDescent="0.15">
      <c r="A539" s="2" t="s">
        <v>21</v>
      </c>
      <c r="B539" s="2">
        <v>33856</v>
      </c>
      <c r="C539" s="2" t="s">
        <v>51</v>
      </c>
      <c r="D539" s="2" t="s">
        <v>38</v>
      </c>
      <c r="E539" s="2" t="s">
        <v>57</v>
      </c>
    </row>
    <row r="540" spans="1:5" ht="13" x14ac:dyDescent="0.15">
      <c r="A540" s="2" t="s">
        <v>21</v>
      </c>
      <c r="B540" s="2">
        <v>35479</v>
      </c>
      <c r="C540" s="2" t="s">
        <v>52</v>
      </c>
      <c r="D540" s="2" t="s">
        <v>37</v>
      </c>
      <c r="E540" s="2" t="s">
        <v>57</v>
      </c>
    </row>
    <row r="541" spans="1:5" ht="13" x14ac:dyDescent="0.15">
      <c r="A541" s="2" t="s">
        <v>21</v>
      </c>
      <c r="B541" s="2">
        <v>34717</v>
      </c>
      <c r="C541" s="2" t="s">
        <v>52</v>
      </c>
      <c r="D541" s="2" t="s">
        <v>38</v>
      </c>
      <c r="E541" s="2" t="s">
        <v>57</v>
      </c>
    </row>
    <row r="542" spans="1:5" ht="13" x14ac:dyDescent="0.15">
      <c r="A542" s="2" t="s">
        <v>21</v>
      </c>
      <c r="B542" s="2">
        <v>31588</v>
      </c>
      <c r="C542" s="2" t="s">
        <v>53</v>
      </c>
      <c r="D542" s="2" t="s">
        <v>37</v>
      </c>
      <c r="E542" s="2" t="s">
        <v>57</v>
      </c>
    </row>
    <row r="543" spans="1:5" ht="13" x14ac:dyDescent="0.15">
      <c r="A543" s="2" t="s">
        <v>21</v>
      </c>
      <c r="B543" s="2">
        <v>33665</v>
      </c>
      <c r="C543" s="2" t="s">
        <v>53</v>
      </c>
      <c r="D543" s="2" t="s">
        <v>38</v>
      </c>
      <c r="E543" s="2" t="s">
        <v>57</v>
      </c>
    </row>
    <row r="544" spans="1:5" ht="13" x14ac:dyDescent="0.15">
      <c r="A544" s="2" t="s">
        <v>21</v>
      </c>
      <c r="B544" s="2">
        <v>26863</v>
      </c>
      <c r="C544" s="2" t="s">
        <v>54</v>
      </c>
      <c r="D544" s="2" t="s">
        <v>37</v>
      </c>
      <c r="E544" s="2" t="s">
        <v>57</v>
      </c>
    </row>
    <row r="545" spans="1:5" ht="13" x14ac:dyDescent="0.15">
      <c r="A545" s="2" t="s">
        <v>21</v>
      </c>
      <c r="B545" s="2">
        <v>29174</v>
      </c>
      <c r="C545" s="2" t="s">
        <v>54</v>
      </c>
      <c r="D545" s="2" t="s">
        <v>38</v>
      </c>
      <c r="E545" s="2" t="s">
        <v>57</v>
      </c>
    </row>
    <row r="546" spans="1:5" ht="13" x14ac:dyDescent="0.15">
      <c r="A546" s="2" t="s">
        <v>21</v>
      </c>
      <c r="B546" s="2">
        <v>23088</v>
      </c>
      <c r="C546" s="2" t="s">
        <v>55</v>
      </c>
      <c r="D546" s="2" t="s">
        <v>37</v>
      </c>
      <c r="E546" s="2" t="s">
        <v>57</v>
      </c>
    </row>
    <row r="547" spans="1:5" ht="13" x14ac:dyDescent="0.15">
      <c r="A547" s="2" t="s">
        <v>21</v>
      </c>
      <c r="B547" s="2">
        <v>25770</v>
      </c>
      <c r="C547" s="2" t="s">
        <v>55</v>
      </c>
      <c r="D547" s="2" t="s">
        <v>38</v>
      </c>
      <c r="E547" s="2" t="s">
        <v>57</v>
      </c>
    </row>
    <row r="548" spans="1:5" ht="13" x14ac:dyDescent="0.15">
      <c r="A548" s="2" t="s">
        <v>22</v>
      </c>
      <c r="B548" s="2">
        <v>80183</v>
      </c>
      <c r="C548" s="2" t="s">
        <v>42</v>
      </c>
      <c r="D548" s="2" t="s">
        <v>37</v>
      </c>
      <c r="E548" s="2" t="s">
        <v>43</v>
      </c>
    </row>
    <row r="549" spans="1:5" ht="13" x14ac:dyDescent="0.15">
      <c r="A549" s="2" t="s">
        <v>22</v>
      </c>
      <c r="B549" s="2">
        <v>73282</v>
      </c>
      <c r="C549" s="2" t="s">
        <v>42</v>
      </c>
      <c r="D549" s="2" t="s">
        <v>38</v>
      </c>
      <c r="E549" s="2" t="s">
        <v>43</v>
      </c>
    </row>
    <row r="550" spans="1:5" ht="13" x14ac:dyDescent="0.15">
      <c r="A550" s="2" t="s">
        <v>22</v>
      </c>
      <c r="B550" s="2">
        <v>82500</v>
      </c>
      <c r="C550" s="2" t="s">
        <v>44</v>
      </c>
      <c r="D550" s="2" t="s">
        <v>37</v>
      </c>
      <c r="E550" s="2" t="s">
        <v>43</v>
      </c>
    </row>
    <row r="551" spans="1:5" ht="13" x14ac:dyDescent="0.15">
      <c r="A551" s="2" t="s">
        <v>22</v>
      </c>
      <c r="B551" s="2">
        <v>74006</v>
      </c>
      <c r="C551" s="2" t="s">
        <v>44</v>
      </c>
      <c r="D551" s="2" t="s">
        <v>38</v>
      </c>
      <c r="E551" s="2" t="s">
        <v>43</v>
      </c>
    </row>
    <row r="552" spans="1:5" ht="13" x14ac:dyDescent="0.15">
      <c r="A552" s="2" t="s">
        <v>22</v>
      </c>
      <c r="B552" s="2">
        <v>67726</v>
      </c>
      <c r="C552" s="2" t="s">
        <v>45</v>
      </c>
      <c r="D552" s="2" t="s">
        <v>37</v>
      </c>
      <c r="E552" s="2" t="s">
        <v>43</v>
      </c>
    </row>
    <row r="553" spans="1:5" ht="13" x14ac:dyDescent="0.15">
      <c r="A553" s="2" t="s">
        <v>22</v>
      </c>
      <c r="B553" s="2">
        <v>59698</v>
      </c>
      <c r="C553" s="2" t="s">
        <v>45</v>
      </c>
      <c r="D553" s="2" t="s">
        <v>38</v>
      </c>
      <c r="E553" s="2" t="s">
        <v>43</v>
      </c>
    </row>
    <row r="554" spans="1:5" ht="13" x14ac:dyDescent="0.15">
      <c r="A554" s="2" t="s">
        <v>22</v>
      </c>
      <c r="B554" s="2">
        <v>72820</v>
      </c>
      <c r="C554" s="2" t="s">
        <v>46</v>
      </c>
      <c r="D554" s="2" t="s">
        <v>37</v>
      </c>
      <c r="E554" s="2" t="s">
        <v>43</v>
      </c>
    </row>
    <row r="555" spans="1:5" ht="13" x14ac:dyDescent="0.15">
      <c r="A555" s="2" t="s">
        <v>22</v>
      </c>
      <c r="B555" s="2">
        <v>66543</v>
      </c>
      <c r="C555" s="2" t="s">
        <v>46</v>
      </c>
      <c r="D555" s="2" t="s">
        <v>38</v>
      </c>
      <c r="E555" s="2" t="s">
        <v>43</v>
      </c>
    </row>
    <row r="556" spans="1:5" ht="13" x14ac:dyDescent="0.15">
      <c r="A556" s="2" t="s">
        <v>22</v>
      </c>
      <c r="B556" s="2">
        <v>72410</v>
      </c>
      <c r="C556" s="2" t="s">
        <v>47</v>
      </c>
      <c r="D556" s="2" t="s">
        <v>37</v>
      </c>
      <c r="E556" s="2" t="s">
        <v>43</v>
      </c>
    </row>
    <row r="557" spans="1:5" ht="13" x14ac:dyDescent="0.15">
      <c r="A557" s="2" t="s">
        <v>22</v>
      </c>
      <c r="B557" s="2">
        <v>66230</v>
      </c>
      <c r="C557" s="2" t="s">
        <v>47</v>
      </c>
      <c r="D557" s="2" t="s">
        <v>38</v>
      </c>
      <c r="E557" s="2" t="s">
        <v>43</v>
      </c>
    </row>
    <row r="558" spans="1:5" ht="13" x14ac:dyDescent="0.15">
      <c r="A558" s="2" t="s">
        <v>22</v>
      </c>
      <c r="B558" s="2">
        <v>76292</v>
      </c>
      <c r="C558" s="2" t="s">
        <v>48</v>
      </c>
      <c r="D558" s="2" t="s">
        <v>37</v>
      </c>
      <c r="E558" s="2" t="s">
        <v>43</v>
      </c>
    </row>
    <row r="559" spans="1:5" ht="13" x14ac:dyDescent="0.15">
      <c r="A559" s="2" t="s">
        <v>22</v>
      </c>
      <c r="B559" s="2">
        <v>70926</v>
      </c>
      <c r="C559" s="2" t="s">
        <v>48</v>
      </c>
      <c r="D559" s="2" t="s">
        <v>38</v>
      </c>
      <c r="E559" s="2" t="s">
        <v>43</v>
      </c>
    </row>
    <row r="560" spans="1:5" ht="13" x14ac:dyDescent="0.15">
      <c r="A560" s="2" t="s">
        <v>22</v>
      </c>
      <c r="B560" s="2">
        <v>79658</v>
      </c>
      <c r="C560" s="2" t="s">
        <v>49</v>
      </c>
      <c r="D560" s="2" t="s">
        <v>37</v>
      </c>
      <c r="E560" s="2" t="s">
        <v>43</v>
      </c>
    </row>
    <row r="561" spans="1:5" ht="13" x14ac:dyDescent="0.15">
      <c r="A561" s="2" t="s">
        <v>22</v>
      </c>
      <c r="B561" s="2">
        <v>72934</v>
      </c>
      <c r="C561" s="2" t="s">
        <v>49</v>
      </c>
      <c r="D561" s="2" t="s">
        <v>38</v>
      </c>
      <c r="E561" s="2" t="s">
        <v>43</v>
      </c>
    </row>
    <row r="562" spans="1:5" ht="13" x14ac:dyDescent="0.15">
      <c r="A562" s="2" t="s">
        <v>22</v>
      </c>
      <c r="B562" s="2">
        <v>92971</v>
      </c>
      <c r="C562" s="2" t="s">
        <v>50</v>
      </c>
      <c r="D562" s="2" t="s">
        <v>37</v>
      </c>
      <c r="E562" s="2" t="s">
        <v>43</v>
      </c>
    </row>
    <row r="563" spans="1:5" ht="13" x14ac:dyDescent="0.15">
      <c r="A563" s="2" t="s">
        <v>22</v>
      </c>
      <c r="B563" s="2">
        <v>81101</v>
      </c>
      <c r="C563" s="2" t="s">
        <v>50</v>
      </c>
      <c r="D563" s="2" t="s">
        <v>38</v>
      </c>
      <c r="E563" s="2" t="s">
        <v>43</v>
      </c>
    </row>
    <row r="564" spans="1:5" ht="13" x14ac:dyDescent="0.15">
      <c r="A564" s="2" t="s">
        <v>22</v>
      </c>
      <c r="B564" s="2">
        <v>78502</v>
      </c>
      <c r="C564" s="2" t="s">
        <v>51</v>
      </c>
      <c r="D564" s="2" t="s">
        <v>37</v>
      </c>
      <c r="E564" s="2" t="s">
        <v>43</v>
      </c>
    </row>
    <row r="565" spans="1:5" ht="13" x14ac:dyDescent="0.15">
      <c r="A565" s="2" t="s">
        <v>22</v>
      </c>
      <c r="B565" s="2">
        <v>76334</v>
      </c>
      <c r="C565" s="2" t="s">
        <v>51</v>
      </c>
      <c r="D565" s="2" t="s">
        <v>38</v>
      </c>
      <c r="E565" s="2" t="s">
        <v>43</v>
      </c>
    </row>
    <row r="566" spans="1:5" ht="13" x14ac:dyDescent="0.15">
      <c r="A566" s="2" t="s">
        <v>22</v>
      </c>
      <c r="B566" s="2">
        <v>65572</v>
      </c>
      <c r="C566" s="2" t="s">
        <v>52</v>
      </c>
      <c r="D566" s="2" t="s">
        <v>37</v>
      </c>
      <c r="E566" s="2" t="s">
        <v>43</v>
      </c>
    </row>
    <row r="567" spans="1:5" ht="13" x14ac:dyDescent="0.15">
      <c r="A567" s="2" t="s">
        <v>22</v>
      </c>
      <c r="B567" s="2">
        <v>68882</v>
      </c>
      <c r="C567" s="2" t="s">
        <v>52</v>
      </c>
      <c r="D567" s="2" t="s">
        <v>38</v>
      </c>
      <c r="E567" s="2" t="s">
        <v>43</v>
      </c>
    </row>
    <row r="568" spans="1:5" ht="13" x14ac:dyDescent="0.15">
      <c r="A568" s="2" t="s">
        <v>22</v>
      </c>
      <c r="B568" s="2">
        <v>56412</v>
      </c>
      <c r="C568" s="2" t="s">
        <v>53</v>
      </c>
      <c r="D568" s="2" t="s">
        <v>37</v>
      </c>
      <c r="E568" s="2" t="s">
        <v>43</v>
      </c>
    </row>
    <row r="569" spans="1:5" ht="13" x14ac:dyDescent="0.15">
      <c r="A569" s="2" t="s">
        <v>22</v>
      </c>
      <c r="B569" s="2">
        <v>62747</v>
      </c>
      <c r="C569" s="2" t="s">
        <v>53</v>
      </c>
      <c r="D569" s="2" t="s">
        <v>38</v>
      </c>
      <c r="E569" s="2" t="s">
        <v>43</v>
      </c>
    </row>
    <row r="570" spans="1:5" ht="13" x14ac:dyDescent="0.15">
      <c r="A570" s="2" t="s">
        <v>22</v>
      </c>
      <c r="B570" s="2">
        <v>49698</v>
      </c>
      <c r="C570" s="2" t="s">
        <v>54</v>
      </c>
      <c r="D570" s="2" t="s">
        <v>37</v>
      </c>
      <c r="E570" s="2" t="s">
        <v>43</v>
      </c>
    </row>
    <row r="571" spans="1:5" ht="13" x14ac:dyDescent="0.15">
      <c r="A571" s="2" t="s">
        <v>22</v>
      </c>
      <c r="B571" s="2">
        <v>55701</v>
      </c>
      <c r="C571" s="2" t="s">
        <v>54</v>
      </c>
      <c r="D571" s="2" t="s">
        <v>38</v>
      </c>
      <c r="E571" s="2" t="s">
        <v>43</v>
      </c>
    </row>
    <row r="572" spans="1:5" ht="13" x14ac:dyDescent="0.15">
      <c r="A572" s="2" t="s">
        <v>22</v>
      </c>
      <c r="B572" s="2">
        <v>41056</v>
      </c>
      <c r="C572" s="2" t="s">
        <v>55</v>
      </c>
      <c r="D572" s="2" t="s">
        <v>37</v>
      </c>
      <c r="E572" s="2" t="s">
        <v>43</v>
      </c>
    </row>
    <row r="573" spans="1:5" ht="13" x14ac:dyDescent="0.15">
      <c r="A573" s="2" t="s">
        <v>22</v>
      </c>
      <c r="B573" s="2">
        <v>48155</v>
      </c>
      <c r="C573" s="2" t="s">
        <v>55</v>
      </c>
      <c r="D573" s="2" t="s">
        <v>38</v>
      </c>
      <c r="E573" s="2" t="s">
        <v>43</v>
      </c>
    </row>
    <row r="574" spans="1:5" ht="13" x14ac:dyDescent="0.15">
      <c r="A574" s="2" t="s">
        <v>22</v>
      </c>
      <c r="B574" s="2">
        <v>71843</v>
      </c>
      <c r="C574" s="2" t="s">
        <v>42</v>
      </c>
      <c r="D574" s="2" t="s">
        <v>37</v>
      </c>
      <c r="E574" s="2" t="s">
        <v>56</v>
      </c>
    </row>
    <row r="575" spans="1:5" ht="13" x14ac:dyDescent="0.15">
      <c r="A575" s="2" t="s">
        <v>22</v>
      </c>
      <c r="B575" s="2">
        <v>64036</v>
      </c>
      <c r="C575" s="2" t="s">
        <v>42</v>
      </c>
      <c r="D575" s="2" t="s">
        <v>38</v>
      </c>
      <c r="E575" s="2" t="s">
        <v>56</v>
      </c>
    </row>
    <row r="576" spans="1:5" ht="13" x14ac:dyDescent="0.15">
      <c r="A576" s="2" t="s">
        <v>22</v>
      </c>
      <c r="B576" s="2">
        <v>83745</v>
      </c>
      <c r="C576" s="2" t="s">
        <v>44</v>
      </c>
      <c r="D576" s="2" t="s">
        <v>37</v>
      </c>
      <c r="E576" s="2" t="s">
        <v>56</v>
      </c>
    </row>
    <row r="577" spans="1:5" ht="13" x14ac:dyDescent="0.15">
      <c r="A577" s="2" t="s">
        <v>22</v>
      </c>
      <c r="B577" s="2">
        <v>74720</v>
      </c>
      <c r="C577" s="2" t="s">
        <v>44</v>
      </c>
      <c r="D577" s="2" t="s">
        <v>38</v>
      </c>
      <c r="E577" s="2" t="s">
        <v>56</v>
      </c>
    </row>
    <row r="578" spans="1:5" ht="13" x14ac:dyDescent="0.15">
      <c r="A578" s="2" t="s">
        <v>22</v>
      </c>
      <c r="B578" s="2">
        <v>78940</v>
      </c>
      <c r="C578" s="2" t="s">
        <v>45</v>
      </c>
      <c r="D578" s="2" t="s">
        <v>37</v>
      </c>
      <c r="E578" s="2" t="s">
        <v>56</v>
      </c>
    </row>
    <row r="579" spans="1:5" ht="13" x14ac:dyDescent="0.15">
      <c r="A579" s="2" t="s">
        <v>22</v>
      </c>
      <c r="B579" s="2">
        <v>72047</v>
      </c>
      <c r="C579" s="2" t="s">
        <v>45</v>
      </c>
      <c r="D579" s="2" t="s">
        <v>38</v>
      </c>
      <c r="E579" s="2" t="s">
        <v>56</v>
      </c>
    </row>
    <row r="580" spans="1:5" ht="13" x14ac:dyDescent="0.15">
      <c r="A580" s="2" t="s">
        <v>22</v>
      </c>
      <c r="B580" s="2">
        <v>66949</v>
      </c>
      <c r="C580" s="2" t="s">
        <v>46</v>
      </c>
      <c r="D580" s="2" t="s">
        <v>37</v>
      </c>
      <c r="E580" s="2" t="s">
        <v>56</v>
      </c>
    </row>
    <row r="581" spans="1:5" ht="13" x14ac:dyDescent="0.15">
      <c r="A581" s="2" t="s">
        <v>22</v>
      </c>
      <c r="B581" s="2">
        <v>59260</v>
      </c>
      <c r="C581" s="2" t="s">
        <v>46</v>
      </c>
      <c r="D581" s="2" t="s">
        <v>38</v>
      </c>
      <c r="E581" s="2" t="s">
        <v>56</v>
      </c>
    </row>
    <row r="582" spans="1:5" ht="13" x14ac:dyDescent="0.15">
      <c r="A582" s="2" t="s">
        <v>22</v>
      </c>
      <c r="B582" s="2">
        <v>71607</v>
      </c>
      <c r="C582" s="2" t="s">
        <v>47</v>
      </c>
      <c r="D582" s="2" t="s">
        <v>37</v>
      </c>
      <c r="E582" s="2" t="s">
        <v>56</v>
      </c>
    </row>
    <row r="583" spans="1:5" ht="13" x14ac:dyDescent="0.15">
      <c r="A583" s="2" t="s">
        <v>22</v>
      </c>
      <c r="B583" s="2">
        <v>65879</v>
      </c>
      <c r="C583" s="2" t="s">
        <v>47</v>
      </c>
      <c r="D583" s="2" t="s">
        <v>38</v>
      </c>
      <c r="E583" s="2" t="s">
        <v>56</v>
      </c>
    </row>
    <row r="584" spans="1:5" ht="13" x14ac:dyDescent="0.15">
      <c r="A584" s="2" t="s">
        <v>22</v>
      </c>
      <c r="B584" s="2">
        <v>71333</v>
      </c>
      <c r="C584" s="2" t="s">
        <v>48</v>
      </c>
      <c r="D584" s="2" t="s">
        <v>37</v>
      </c>
      <c r="E584" s="2" t="s">
        <v>56</v>
      </c>
    </row>
    <row r="585" spans="1:5" ht="13" x14ac:dyDescent="0.15">
      <c r="A585" s="2" t="s">
        <v>22</v>
      </c>
      <c r="B585" s="2">
        <v>65940</v>
      </c>
      <c r="C585" s="2" t="s">
        <v>48</v>
      </c>
      <c r="D585" s="2" t="s">
        <v>38</v>
      </c>
      <c r="E585" s="2" t="s">
        <v>56</v>
      </c>
    </row>
    <row r="586" spans="1:5" ht="13" x14ac:dyDescent="0.15">
      <c r="A586" s="2" t="s">
        <v>22</v>
      </c>
      <c r="B586" s="2">
        <v>74721</v>
      </c>
      <c r="C586" s="2" t="s">
        <v>49</v>
      </c>
      <c r="D586" s="2" t="s">
        <v>37</v>
      </c>
      <c r="E586" s="2" t="s">
        <v>56</v>
      </c>
    </row>
    <row r="587" spans="1:5" ht="13" x14ac:dyDescent="0.15">
      <c r="A587" s="2" t="s">
        <v>22</v>
      </c>
      <c r="B587" s="2">
        <v>70325</v>
      </c>
      <c r="C587" s="2" t="s">
        <v>49</v>
      </c>
      <c r="D587" s="2" t="s">
        <v>38</v>
      </c>
      <c r="E587" s="2" t="s">
        <v>56</v>
      </c>
    </row>
    <row r="588" spans="1:5" ht="13" x14ac:dyDescent="0.15">
      <c r="A588" s="2" t="s">
        <v>22</v>
      </c>
      <c r="B588" s="2">
        <v>79228</v>
      </c>
      <c r="C588" s="2" t="s">
        <v>50</v>
      </c>
      <c r="D588" s="2" t="s">
        <v>37</v>
      </c>
      <c r="E588" s="2" t="s">
        <v>56</v>
      </c>
    </row>
    <row r="589" spans="1:5" ht="13" x14ac:dyDescent="0.15">
      <c r="A589" s="2" t="s">
        <v>22</v>
      </c>
      <c r="B589" s="2">
        <v>71049</v>
      </c>
      <c r="C589" s="2" t="s">
        <v>50</v>
      </c>
      <c r="D589" s="2" t="s">
        <v>38</v>
      </c>
      <c r="E589" s="2" t="s">
        <v>56</v>
      </c>
    </row>
    <row r="590" spans="1:5" ht="13" x14ac:dyDescent="0.15">
      <c r="A590" s="2" t="s">
        <v>22</v>
      </c>
      <c r="B590" s="2">
        <v>84831</v>
      </c>
      <c r="C590" s="2" t="s">
        <v>51</v>
      </c>
      <c r="D590" s="2" t="s">
        <v>37</v>
      </c>
      <c r="E590" s="2" t="s">
        <v>56</v>
      </c>
    </row>
    <row r="591" spans="1:5" ht="13" x14ac:dyDescent="0.15">
      <c r="A591" s="2" t="s">
        <v>22</v>
      </c>
      <c r="B591" s="2">
        <v>78401</v>
      </c>
      <c r="C591" s="2" t="s">
        <v>51</v>
      </c>
      <c r="D591" s="2" t="s">
        <v>38</v>
      </c>
      <c r="E591" s="2" t="s">
        <v>56</v>
      </c>
    </row>
    <row r="592" spans="1:5" ht="13" x14ac:dyDescent="0.15">
      <c r="A592" s="2" t="s">
        <v>22</v>
      </c>
      <c r="B592" s="2">
        <v>71861</v>
      </c>
      <c r="C592" s="2" t="s">
        <v>52</v>
      </c>
      <c r="D592" s="2" t="s">
        <v>37</v>
      </c>
      <c r="E592" s="2" t="s">
        <v>56</v>
      </c>
    </row>
    <row r="593" spans="1:5" ht="13" x14ac:dyDescent="0.15">
      <c r="A593" s="2" t="s">
        <v>22</v>
      </c>
      <c r="B593" s="2">
        <v>73391</v>
      </c>
      <c r="C593" s="2" t="s">
        <v>52</v>
      </c>
      <c r="D593" s="2" t="s">
        <v>38</v>
      </c>
      <c r="E593" s="2" t="s">
        <v>56</v>
      </c>
    </row>
    <row r="594" spans="1:5" ht="13" x14ac:dyDescent="0.15">
      <c r="A594" s="2" t="s">
        <v>22</v>
      </c>
      <c r="B594" s="2">
        <v>59252</v>
      </c>
      <c r="C594" s="2" t="s">
        <v>53</v>
      </c>
      <c r="D594" s="2" t="s">
        <v>37</v>
      </c>
      <c r="E594" s="2" t="s">
        <v>56</v>
      </c>
    </row>
    <row r="595" spans="1:5" ht="13" x14ac:dyDescent="0.15">
      <c r="A595" s="2" t="s">
        <v>22</v>
      </c>
      <c r="B595" s="2">
        <v>65470</v>
      </c>
      <c r="C595" s="2" t="s">
        <v>53</v>
      </c>
      <c r="D595" s="2" t="s">
        <v>38</v>
      </c>
      <c r="E595" s="2" t="s">
        <v>56</v>
      </c>
    </row>
    <row r="596" spans="1:5" ht="13" x14ac:dyDescent="0.15">
      <c r="A596" s="2" t="s">
        <v>22</v>
      </c>
      <c r="B596" s="2">
        <v>51933</v>
      </c>
      <c r="C596" s="2" t="s">
        <v>54</v>
      </c>
      <c r="D596" s="2" t="s">
        <v>37</v>
      </c>
      <c r="E596" s="2" t="s">
        <v>56</v>
      </c>
    </row>
    <row r="597" spans="1:5" ht="13" x14ac:dyDescent="0.15">
      <c r="A597" s="2" t="s">
        <v>22</v>
      </c>
      <c r="B597" s="2">
        <v>57944</v>
      </c>
      <c r="C597" s="2" t="s">
        <v>54</v>
      </c>
      <c r="D597" s="2" t="s">
        <v>38</v>
      </c>
      <c r="E597" s="2" t="s">
        <v>56</v>
      </c>
    </row>
    <row r="598" spans="1:5" ht="13" x14ac:dyDescent="0.15">
      <c r="A598" s="2" t="s">
        <v>22</v>
      </c>
      <c r="B598" s="2">
        <v>45701</v>
      </c>
      <c r="C598" s="2" t="s">
        <v>55</v>
      </c>
      <c r="D598" s="2" t="s">
        <v>37</v>
      </c>
      <c r="E598" s="2" t="s">
        <v>56</v>
      </c>
    </row>
    <row r="599" spans="1:5" ht="13" x14ac:dyDescent="0.15">
      <c r="A599" s="2" t="s">
        <v>22</v>
      </c>
      <c r="B599" s="2">
        <v>52453</v>
      </c>
      <c r="C599" s="2" t="s">
        <v>55</v>
      </c>
      <c r="D599" s="2" t="s">
        <v>38</v>
      </c>
      <c r="E599" s="2" t="s">
        <v>56</v>
      </c>
    </row>
    <row r="600" spans="1:5" ht="13" x14ac:dyDescent="0.15">
      <c r="A600" s="2" t="s">
        <v>22</v>
      </c>
      <c r="B600" s="2">
        <v>67026</v>
      </c>
      <c r="C600" s="2" t="s">
        <v>42</v>
      </c>
      <c r="D600" s="2" t="s">
        <v>37</v>
      </c>
      <c r="E600" s="2" t="s">
        <v>57</v>
      </c>
    </row>
    <row r="601" spans="1:5" ht="13" x14ac:dyDescent="0.15">
      <c r="A601" s="2" t="s">
        <v>22</v>
      </c>
      <c r="B601" s="2">
        <v>61162</v>
      </c>
      <c r="C601" s="2" t="s">
        <v>42</v>
      </c>
      <c r="D601" s="2" t="s">
        <v>38</v>
      </c>
      <c r="E601" s="2" t="s">
        <v>57</v>
      </c>
    </row>
    <row r="602" spans="1:5" ht="13" x14ac:dyDescent="0.15">
      <c r="A602" s="2" t="s">
        <v>22</v>
      </c>
      <c r="B602" s="2">
        <v>73670</v>
      </c>
      <c r="C602" s="2" t="s">
        <v>44</v>
      </c>
      <c r="D602" s="2" t="s">
        <v>37</v>
      </c>
      <c r="E602" s="2" t="s">
        <v>57</v>
      </c>
    </row>
    <row r="603" spans="1:5" ht="13" x14ac:dyDescent="0.15">
      <c r="A603" s="2" t="s">
        <v>22</v>
      </c>
      <c r="B603" s="2">
        <v>63667</v>
      </c>
      <c r="C603" s="2" t="s">
        <v>44</v>
      </c>
      <c r="D603" s="2" t="s">
        <v>38</v>
      </c>
      <c r="E603" s="2" t="s">
        <v>57</v>
      </c>
    </row>
    <row r="604" spans="1:5" ht="13" x14ac:dyDescent="0.15">
      <c r="A604" s="2" t="s">
        <v>22</v>
      </c>
      <c r="B604" s="2">
        <v>76000</v>
      </c>
      <c r="C604" s="2" t="s">
        <v>45</v>
      </c>
      <c r="D604" s="2" t="s">
        <v>37</v>
      </c>
      <c r="E604" s="2" t="s">
        <v>57</v>
      </c>
    </row>
    <row r="605" spans="1:5" ht="13" x14ac:dyDescent="0.15">
      <c r="A605" s="2" t="s">
        <v>22</v>
      </c>
      <c r="B605" s="2">
        <v>69514</v>
      </c>
      <c r="C605" s="2" t="s">
        <v>45</v>
      </c>
      <c r="D605" s="2" t="s">
        <v>38</v>
      </c>
      <c r="E605" s="2" t="s">
        <v>57</v>
      </c>
    </row>
    <row r="606" spans="1:5" ht="13" x14ac:dyDescent="0.15">
      <c r="A606" s="2" t="s">
        <v>22</v>
      </c>
      <c r="B606" s="2">
        <v>74014</v>
      </c>
      <c r="C606" s="2" t="s">
        <v>46</v>
      </c>
      <c r="D606" s="2" t="s">
        <v>37</v>
      </c>
      <c r="E606" s="2" t="s">
        <v>57</v>
      </c>
    </row>
    <row r="607" spans="1:5" ht="13" x14ac:dyDescent="0.15">
      <c r="A607" s="2" t="s">
        <v>22</v>
      </c>
      <c r="B607" s="2">
        <v>68391</v>
      </c>
      <c r="C607" s="2" t="s">
        <v>46</v>
      </c>
      <c r="D607" s="2" t="s">
        <v>38</v>
      </c>
      <c r="E607" s="2" t="s">
        <v>57</v>
      </c>
    </row>
    <row r="608" spans="1:5" ht="13" x14ac:dyDescent="0.15">
      <c r="A608" s="2" t="s">
        <v>22</v>
      </c>
      <c r="B608" s="2">
        <v>62881</v>
      </c>
      <c r="C608" s="2" t="s">
        <v>47</v>
      </c>
      <c r="D608" s="2" t="s">
        <v>37</v>
      </c>
      <c r="E608" s="2" t="s">
        <v>57</v>
      </c>
    </row>
    <row r="609" spans="1:5" ht="13" x14ac:dyDescent="0.15">
      <c r="A609" s="2" t="s">
        <v>22</v>
      </c>
      <c r="B609" s="2">
        <v>56385</v>
      </c>
      <c r="C609" s="2" t="s">
        <v>47</v>
      </c>
      <c r="D609" s="2" t="s">
        <v>38</v>
      </c>
      <c r="E609" s="2" t="s">
        <v>57</v>
      </c>
    </row>
    <row r="610" spans="1:5" ht="13" x14ac:dyDescent="0.15">
      <c r="A610" s="2" t="s">
        <v>22</v>
      </c>
      <c r="B610" s="2">
        <v>67743</v>
      </c>
      <c r="C610" s="2" t="s">
        <v>48</v>
      </c>
      <c r="D610" s="2" t="s">
        <v>37</v>
      </c>
      <c r="E610" s="2" t="s">
        <v>57</v>
      </c>
    </row>
    <row r="611" spans="1:5" ht="13" x14ac:dyDescent="0.15">
      <c r="A611" s="2" t="s">
        <v>22</v>
      </c>
      <c r="B611" s="2">
        <v>63169</v>
      </c>
      <c r="C611" s="2" t="s">
        <v>48</v>
      </c>
      <c r="D611" s="2" t="s">
        <v>38</v>
      </c>
      <c r="E611" s="2" t="s">
        <v>57</v>
      </c>
    </row>
    <row r="612" spans="1:5" ht="13" x14ac:dyDescent="0.15">
      <c r="A612" s="2" t="s">
        <v>22</v>
      </c>
      <c r="B612" s="2">
        <v>67858</v>
      </c>
      <c r="C612" s="2" t="s">
        <v>49</v>
      </c>
      <c r="D612" s="2" t="s">
        <v>37</v>
      </c>
      <c r="E612" s="2" t="s">
        <v>57</v>
      </c>
    </row>
    <row r="613" spans="1:5" ht="13" x14ac:dyDescent="0.15">
      <c r="A613" s="2" t="s">
        <v>22</v>
      </c>
      <c r="B613" s="2">
        <v>63561</v>
      </c>
      <c r="C613" s="2" t="s">
        <v>49</v>
      </c>
      <c r="D613" s="2" t="s">
        <v>38</v>
      </c>
      <c r="E613" s="2" t="s">
        <v>57</v>
      </c>
    </row>
    <row r="614" spans="1:5" ht="13" x14ac:dyDescent="0.15">
      <c r="A614" s="2" t="s">
        <v>22</v>
      </c>
      <c r="B614" s="2">
        <v>63697</v>
      </c>
      <c r="C614" s="2" t="s">
        <v>50</v>
      </c>
      <c r="D614" s="2" t="s">
        <v>37</v>
      </c>
      <c r="E614" s="2" t="s">
        <v>57</v>
      </c>
    </row>
    <row r="615" spans="1:5" ht="13" x14ac:dyDescent="0.15">
      <c r="A615" s="2" t="s">
        <v>22</v>
      </c>
      <c r="B615" s="2">
        <v>60428</v>
      </c>
      <c r="C615" s="2" t="s">
        <v>50</v>
      </c>
      <c r="D615" s="2" t="s">
        <v>38</v>
      </c>
      <c r="E615" s="2" t="s">
        <v>57</v>
      </c>
    </row>
    <row r="616" spans="1:5" ht="13" x14ac:dyDescent="0.15">
      <c r="A616" s="2" t="s">
        <v>22</v>
      </c>
      <c r="B616" s="2">
        <v>68727</v>
      </c>
      <c r="C616" s="2" t="s">
        <v>51</v>
      </c>
      <c r="D616" s="2" t="s">
        <v>37</v>
      </c>
      <c r="E616" s="2" t="s">
        <v>57</v>
      </c>
    </row>
    <row r="617" spans="1:5" ht="13" x14ac:dyDescent="0.15">
      <c r="A617" s="2" t="s">
        <v>22</v>
      </c>
      <c r="B617" s="2">
        <v>64749</v>
      </c>
      <c r="C617" s="2" t="s">
        <v>51</v>
      </c>
      <c r="D617" s="2" t="s">
        <v>38</v>
      </c>
      <c r="E617" s="2" t="s">
        <v>57</v>
      </c>
    </row>
    <row r="618" spans="1:5" ht="13" x14ac:dyDescent="0.15">
      <c r="A618" s="2" t="s">
        <v>22</v>
      </c>
      <c r="B618" s="2">
        <v>72115</v>
      </c>
      <c r="C618" s="2" t="s">
        <v>52</v>
      </c>
      <c r="D618" s="2" t="s">
        <v>37</v>
      </c>
      <c r="E618" s="2" t="s">
        <v>57</v>
      </c>
    </row>
    <row r="619" spans="1:5" ht="13" x14ac:dyDescent="0.15">
      <c r="A619" s="2" t="s">
        <v>22</v>
      </c>
      <c r="B619" s="2">
        <v>71011</v>
      </c>
      <c r="C619" s="2" t="s">
        <v>52</v>
      </c>
      <c r="D619" s="2" t="s">
        <v>38</v>
      </c>
      <c r="E619" s="2" t="s">
        <v>57</v>
      </c>
    </row>
    <row r="620" spans="1:5" ht="13" x14ac:dyDescent="0.15">
      <c r="A620" s="2" t="s">
        <v>22</v>
      </c>
      <c r="B620" s="2">
        <v>61067</v>
      </c>
      <c r="C620" s="2" t="s">
        <v>53</v>
      </c>
      <c r="D620" s="2" t="s">
        <v>37</v>
      </c>
      <c r="E620" s="2" t="s">
        <v>57</v>
      </c>
    </row>
    <row r="621" spans="1:5" ht="13" x14ac:dyDescent="0.15">
      <c r="A621" s="2" t="s">
        <v>22</v>
      </c>
      <c r="B621" s="2">
        <v>66612</v>
      </c>
      <c r="C621" s="2" t="s">
        <v>53</v>
      </c>
      <c r="D621" s="2" t="s">
        <v>38</v>
      </c>
      <c r="E621" s="2" t="s">
        <v>57</v>
      </c>
    </row>
    <row r="622" spans="1:5" ht="13" x14ac:dyDescent="0.15">
      <c r="A622" s="2" t="s">
        <v>22</v>
      </c>
      <c r="B622" s="2">
        <v>49191</v>
      </c>
      <c r="C622" s="2" t="s">
        <v>54</v>
      </c>
      <c r="D622" s="2" t="s">
        <v>37</v>
      </c>
      <c r="E622" s="2" t="s">
        <v>57</v>
      </c>
    </row>
    <row r="623" spans="1:5" ht="13" x14ac:dyDescent="0.15">
      <c r="A623" s="2" t="s">
        <v>22</v>
      </c>
      <c r="B623" s="2">
        <v>56779</v>
      </c>
      <c r="C623" s="2" t="s">
        <v>54</v>
      </c>
      <c r="D623" s="2" t="s">
        <v>38</v>
      </c>
      <c r="E623" s="2" t="s">
        <v>57</v>
      </c>
    </row>
    <row r="624" spans="1:5" ht="13" x14ac:dyDescent="0.15">
      <c r="A624" s="2" t="s">
        <v>22</v>
      </c>
      <c r="B624" s="2">
        <v>44235</v>
      </c>
      <c r="C624" s="2" t="s">
        <v>55</v>
      </c>
      <c r="D624" s="2" t="s">
        <v>37</v>
      </c>
      <c r="E624" s="2" t="s">
        <v>57</v>
      </c>
    </row>
    <row r="625" spans="1:5" ht="13" x14ac:dyDescent="0.15">
      <c r="A625" s="2" t="s">
        <v>22</v>
      </c>
      <c r="B625" s="2">
        <v>51601</v>
      </c>
      <c r="C625" s="2" t="s">
        <v>55</v>
      </c>
      <c r="D625" s="2" t="s">
        <v>38</v>
      </c>
      <c r="E625" s="2" t="s">
        <v>57</v>
      </c>
    </row>
    <row r="626" spans="1:5" ht="13" x14ac:dyDescent="0.15">
      <c r="A626" s="2" t="s">
        <v>23</v>
      </c>
      <c r="B626" s="2">
        <v>87935</v>
      </c>
      <c r="C626" s="2" t="s">
        <v>42</v>
      </c>
      <c r="D626" s="2" t="s">
        <v>37</v>
      </c>
      <c r="E626" s="2" t="s">
        <v>43</v>
      </c>
    </row>
    <row r="627" spans="1:5" ht="13" x14ac:dyDescent="0.15">
      <c r="A627" s="2" t="s">
        <v>23</v>
      </c>
      <c r="B627" s="2">
        <v>82313</v>
      </c>
      <c r="C627" s="2" t="s">
        <v>42</v>
      </c>
      <c r="D627" s="2" t="s">
        <v>38</v>
      </c>
      <c r="E627" s="2" t="s">
        <v>43</v>
      </c>
    </row>
    <row r="628" spans="1:5" ht="13" x14ac:dyDescent="0.15">
      <c r="A628" s="2" t="s">
        <v>23</v>
      </c>
      <c r="B628" s="2">
        <v>90329</v>
      </c>
      <c r="C628" s="2" t="s">
        <v>44</v>
      </c>
      <c r="D628" s="2" t="s">
        <v>37</v>
      </c>
      <c r="E628" s="2" t="s">
        <v>43</v>
      </c>
    </row>
    <row r="629" spans="1:5" ht="13" x14ac:dyDescent="0.15">
      <c r="A629" s="2" t="s">
        <v>23</v>
      </c>
      <c r="B629" s="2">
        <v>81572</v>
      </c>
      <c r="C629" s="2" t="s">
        <v>44</v>
      </c>
      <c r="D629" s="2" t="s">
        <v>38</v>
      </c>
      <c r="E629" s="2" t="s">
        <v>43</v>
      </c>
    </row>
    <row r="630" spans="1:5" ht="13" x14ac:dyDescent="0.15">
      <c r="A630" s="2" t="s">
        <v>23</v>
      </c>
      <c r="B630" s="2">
        <v>73485</v>
      </c>
      <c r="C630" s="2" t="s">
        <v>45</v>
      </c>
      <c r="D630" s="2" t="s">
        <v>37</v>
      </c>
      <c r="E630" s="2" t="s">
        <v>43</v>
      </c>
    </row>
    <row r="631" spans="1:5" ht="13" x14ac:dyDescent="0.15">
      <c r="A631" s="2" t="s">
        <v>23</v>
      </c>
      <c r="B631" s="2">
        <v>66301</v>
      </c>
      <c r="C631" s="2" t="s">
        <v>45</v>
      </c>
      <c r="D631" s="2" t="s">
        <v>38</v>
      </c>
      <c r="E631" s="2" t="s">
        <v>43</v>
      </c>
    </row>
    <row r="632" spans="1:5" ht="13" x14ac:dyDescent="0.15">
      <c r="A632" s="2" t="s">
        <v>23</v>
      </c>
      <c r="B632" s="2">
        <v>82777</v>
      </c>
      <c r="C632" s="2" t="s">
        <v>46</v>
      </c>
      <c r="D632" s="2" t="s">
        <v>37</v>
      </c>
      <c r="E632" s="2" t="s">
        <v>43</v>
      </c>
    </row>
    <row r="633" spans="1:5" ht="13" x14ac:dyDescent="0.15">
      <c r="A633" s="2" t="s">
        <v>23</v>
      </c>
      <c r="B633" s="2">
        <v>75996</v>
      </c>
      <c r="C633" s="2" t="s">
        <v>46</v>
      </c>
      <c r="D633" s="2" t="s">
        <v>38</v>
      </c>
      <c r="E633" s="2" t="s">
        <v>43</v>
      </c>
    </row>
    <row r="634" spans="1:5" ht="13" x14ac:dyDescent="0.15">
      <c r="A634" s="2" t="s">
        <v>23</v>
      </c>
      <c r="B634" s="2">
        <v>86051</v>
      </c>
      <c r="C634" s="2" t="s">
        <v>47</v>
      </c>
      <c r="D634" s="2" t="s">
        <v>37</v>
      </c>
      <c r="E634" s="2" t="s">
        <v>43</v>
      </c>
    </row>
    <row r="635" spans="1:5" ht="13" x14ac:dyDescent="0.15">
      <c r="A635" s="2" t="s">
        <v>23</v>
      </c>
      <c r="B635" s="2">
        <v>78781</v>
      </c>
      <c r="C635" s="2" t="s">
        <v>47</v>
      </c>
      <c r="D635" s="2" t="s">
        <v>38</v>
      </c>
      <c r="E635" s="2" t="s">
        <v>43</v>
      </c>
    </row>
    <row r="636" spans="1:5" ht="13" x14ac:dyDescent="0.15">
      <c r="A636" s="2" t="s">
        <v>23</v>
      </c>
      <c r="B636" s="2">
        <v>91283</v>
      </c>
      <c r="C636" s="2" t="s">
        <v>48</v>
      </c>
      <c r="D636" s="2" t="s">
        <v>37</v>
      </c>
      <c r="E636" s="2" t="s">
        <v>43</v>
      </c>
    </row>
    <row r="637" spans="1:5" ht="13" x14ac:dyDescent="0.15">
      <c r="A637" s="2" t="s">
        <v>23</v>
      </c>
      <c r="B637" s="2">
        <v>83582</v>
      </c>
      <c r="C637" s="2" t="s">
        <v>48</v>
      </c>
      <c r="D637" s="2" t="s">
        <v>38</v>
      </c>
      <c r="E637" s="2" t="s">
        <v>43</v>
      </c>
    </row>
    <row r="638" spans="1:5" ht="13" x14ac:dyDescent="0.15">
      <c r="A638" s="2" t="s">
        <v>23</v>
      </c>
      <c r="B638" s="2">
        <v>94047</v>
      </c>
      <c r="C638" s="2" t="s">
        <v>49</v>
      </c>
      <c r="D638" s="2" t="s">
        <v>37</v>
      </c>
      <c r="E638" s="2" t="s">
        <v>43</v>
      </c>
    </row>
    <row r="639" spans="1:5" ht="13" x14ac:dyDescent="0.15">
      <c r="A639" s="2" t="s">
        <v>23</v>
      </c>
      <c r="B639" s="2">
        <v>86259</v>
      </c>
      <c r="C639" s="2" t="s">
        <v>49</v>
      </c>
      <c r="D639" s="2" t="s">
        <v>38</v>
      </c>
      <c r="E639" s="2" t="s">
        <v>43</v>
      </c>
    </row>
    <row r="640" spans="1:5" ht="13" x14ac:dyDescent="0.15">
      <c r="A640" s="2" t="s">
        <v>23</v>
      </c>
      <c r="B640" s="2">
        <v>107001</v>
      </c>
      <c r="C640" s="2" t="s">
        <v>50</v>
      </c>
      <c r="D640" s="2" t="s">
        <v>37</v>
      </c>
      <c r="E640" s="2" t="s">
        <v>43</v>
      </c>
    </row>
    <row r="641" spans="1:5" ht="13" x14ac:dyDescent="0.15">
      <c r="A641" s="2" t="s">
        <v>23</v>
      </c>
      <c r="B641" s="2">
        <v>94019</v>
      </c>
      <c r="C641" s="2" t="s">
        <v>50</v>
      </c>
      <c r="D641" s="2" t="s">
        <v>38</v>
      </c>
      <c r="E641" s="2" t="s">
        <v>43</v>
      </c>
    </row>
    <row r="642" spans="1:5" ht="13" x14ac:dyDescent="0.15">
      <c r="A642" s="2" t="s">
        <v>23</v>
      </c>
      <c r="B642" s="2">
        <v>87223</v>
      </c>
      <c r="C642" s="2" t="s">
        <v>51</v>
      </c>
      <c r="D642" s="2" t="s">
        <v>37</v>
      </c>
      <c r="E642" s="2" t="s">
        <v>43</v>
      </c>
    </row>
    <row r="643" spans="1:5" ht="13" x14ac:dyDescent="0.15">
      <c r="A643" s="2" t="s">
        <v>23</v>
      </c>
      <c r="B643" s="2">
        <v>84947</v>
      </c>
      <c r="C643" s="2" t="s">
        <v>51</v>
      </c>
      <c r="D643" s="2" t="s">
        <v>38</v>
      </c>
      <c r="E643" s="2" t="s">
        <v>43</v>
      </c>
    </row>
    <row r="644" spans="1:5" ht="13" x14ac:dyDescent="0.15">
      <c r="A644" s="2" t="s">
        <v>23</v>
      </c>
      <c r="B644" s="2">
        <v>73613</v>
      </c>
      <c r="C644" s="2" t="s">
        <v>52</v>
      </c>
      <c r="D644" s="2" t="s">
        <v>37</v>
      </c>
      <c r="E644" s="2" t="s">
        <v>43</v>
      </c>
    </row>
    <row r="645" spans="1:5" ht="13" x14ac:dyDescent="0.15">
      <c r="A645" s="2" t="s">
        <v>23</v>
      </c>
      <c r="B645" s="2">
        <v>75426</v>
      </c>
      <c r="C645" s="2" t="s">
        <v>52</v>
      </c>
      <c r="D645" s="2" t="s">
        <v>38</v>
      </c>
      <c r="E645" s="2" t="s">
        <v>43</v>
      </c>
    </row>
    <row r="646" spans="1:5" ht="13" x14ac:dyDescent="0.15">
      <c r="A646" s="2" t="s">
        <v>23</v>
      </c>
      <c r="B646" s="2">
        <v>66513</v>
      </c>
      <c r="C646" s="2" t="s">
        <v>53</v>
      </c>
      <c r="D646" s="2" t="s">
        <v>37</v>
      </c>
      <c r="E646" s="2" t="s">
        <v>43</v>
      </c>
    </row>
    <row r="647" spans="1:5" ht="13" x14ac:dyDescent="0.15">
      <c r="A647" s="2" t="s">
        <v>23</v>
      </c>
      <c r="B647" s="2">
        <v>71015</v>
      </c>
      <c r="C647" s="2" t="s">
        <v>53</v>
      </c>
      <c r="D647" s="2" t="s">
        <v>38</v>
      </c>
      <c r="E647" s="2" t="s">
        <v>43</v>
      </c>
    </row>
    <row r="648" spans="1:5" ht="13" x14ac:dyDescent="0.15">
      <c r="A648" s="2" t="s">
        <v>23</v>
      </c>
      <c r="B648" s="2">
        <v>60772</v>
      </c>
      <c r="C648" s="2" t="s">
        <v>54</v>
      </c>
      <c r="D648" s="2" t="s">
        <v>37</v>
      </c>
      <c r="E648" s="2" t="s">
        <v>43</v>
      </c>
    </row>
    <row r="649" spans="1:5" ht="13" x14ac:dyDescent="0.15">
      <c r="A649" s="2" t="s">
        <v>23</v>
      </c>
      <c r="B649" s="2">
        <v>63826</v>
      </c>
      <c r="C649" s="2" t="s">
        <v>54</v>
      </c>
      <c r="D649" s="2" t="s">
        <v>38</v>
      </c>
      <c r="E649" s="2" t="s">
        <v>43</v>
      </c>
    </row>
    <row r="650" spans="1:5" ht="13" x14ac:dyDescent="0.15">
      <c r="A650" s="2" t="s">
        <v>23</v>
      </c>
      <c r="B650" s="2">
        <v>50728</v>
      </c>
      <c r="C650" s="2" t="s">
        <v>55</v>
      </c>
      <c r="D650" s="2" t="s">
        <v>37</v>
      </c>
      <c r="E650" s="2" t="s">
        <v>43</v>
      </c>
    </row>
    <row r="651" spans="1:5" ht="13" x14ac:dyDescent="0.15">
      <c r="A651" s="2" t="s">
        <v>23</v>
      </c>
      <c r="B651" s="2">
        <v>57343</v>
      </c>
      <c r="C651" s="2" t="s">
        <v>55</v>
      </c>
      <c r="D651" s="2" t="s">
        <v>38</v>
      </c>
      <c r="E651" s="2" t="s">
        <v>43</v>
      </c>
    </row>
    <row r="652" spans="1:5" ht="13" x14ac:dyDescent="0.15">
      <c r="A652" s="2" t="s">
        <v>23</v>
      </c>
      <c r="B652" s="2">
        <v>73949</v>
      </c>
      <c r="C652" s="2" t="s">
        <v>42</v>
      </c>
      <c r="D652" s="2" t="s">
        <v>37</v>
      </c>
      <c r="E652" s="2" t="s">
        <v>56</v>
      </c>
    </row>
    <row r="653" spans="1:5" ht="13" x14ac:dyDescent="0.15">
      <c r="A653" s="2" t="s">
        <v>23</v>
      </c>
      <c r="B653" s="2">
        <v>67003</v>
      </c>
      <c r="C653" s="2" t="s">
        <v>42</v>
      </c>
      <c r="D653" s="2" t="s">
        <v>38</v>
      </c>
      <c r="E653" s="2" t="s">
        <v>56</v>
      </c>
    </row>
    <row r="654" spans="1:5" ht="13" x14ac:dyDescent="0.15">
      <c r="A654" s="2" t="s">
        <v>23</v>
      </c>
      <c r="B654" s="2">
        <v>91913</v>
      </c>
      <c r="C654" s="2" t="s">
        <v>44</v>
      </c>
      <c r="D654" s="2" t="s">
        <v>37</v>
      </c>
      <c r="E654" s="2" t="s">
        <v>56</v>
      </c>
    </row>
    <row r="655" spans="1:5" ht="13" x14ac:dyDescent="0.15">
      <c r="A655" s="2" t="s">
        <v>23</v>
      </c>
      <c r="B655" s="2">
        <v>84104</v>
      </c>
      <c r="C655" s="2" t="s">
        <v>44</v>
      </c>
      <c r="D655" s="2" t="s">
        <v>38</v>
      </c>
      <c r="E655" s="2" t="s">
        <v>56</v>
      </c>
    </row>
    <row r="656" spans="1:5" ht="13" x14ac:dyDescent="0.15">
      <c r="A656" s="2" t="s">
        <v>23</v>
      </c>
      <c r="B656" s="2">
        <v>88388</v>
      </c>
      <c r="C656" s="2" t="s">
        <v>45</v>
      </c>
      <c r="D656" s="2" t="s">
        <v>37</v>
      </c>
      <c r="E656" s="2" t="s">
        <v>56</v>
      </c>
    </row>
    <row r="657" spans="1:5" ht="13" x14ac:dyDescent="0.15">
      <c r="A657" s="2" t="s">
        <v>23</v>
      </c>
      <c r="B657" s="2">
        <v>80888</v>
      </c>
      <c r="C657" s="2" t="s">
        <v>45</v>
      </c>
      <c r="D657" s="2" t="s">
        <v>38</v>
      </c>
      <c r="E657" s="2" t="s">
        <v>56</v>
      </c>
    </row>
    <row r="658" spans="1:5" ht="13" x14ac:dyDescent="0.15">
      <c r="A658" s="2" t="s">
        <v>23</v>
      </c>
      <c r="B658" s="2">
        <v>73184</v>
      </c>
      <c r="C658" s="2" t="s">
        <v>46</v>
      </c>
      <c r="D658" s="2" t="s">
        <v>37</v>
      </c>
      <c r="E658" s="2" t="s">
        <v>56</v>
      </c>
    </row>
    <row r="659" spans="1:5" ht="13" x14ac:dyDescent="0.15">
      <c r="A659" s="2" t="s">
        <v>23</v>
      </c>
      <c r="B659" s="2">
        <v>66046</v>
      </c>
      <c r="C659" s="2" t="s">
        <v>46</v>
      </c>
      <c r="D659" s="2" t="s">
        <v>38</v>
      </c>
      <c r="E659" s="2" t="s">
        <v>56</v>
      </c>
    </row>
    <row r="660" spans="1:5" ht="13" x14ac:dyDescent="0.15">
      <c r="A660" s="2" t="s">
        <v>23</v>
      </c>
      <c r="B660" s="2">
        <v>82122</v>
      </c>
      <c r="C660" s="2" t="s">
        <v>47</v>
      </c>
      <c r="D660" s="2" t="s">
        <v>37</v>
      </c>
      <c r="E660" s="2" t="s">
        <v>56</v>
      </c>
    </row>
    <row r="661" spans="1:5" ht="13" x14ac:dyDescent="0.15">
      <c r="A661" s="2" t="s">
        <v>23</v>
      </c>
      <c r="B661" s="2">
        <v>75740</v>
      </c>
      <c r="C661" s="2" t="s">
        <v>47</v>
      </c>
      <c r="D661" s="2" t="s">
        <v>38</v>
      </c>
      <c r="E661" s="2" t="s">
        <v>56</v>
      </c>
    </row>
    <row r="662" spans="1:5" ht="13" x14ac:dyDescent="0.15">
      <c r="A662" s="2" t="s">
        <v>23</v>
      </c>
      <c r="B662" s="2">
        <v>85301</v>
      </c>
      <c r="C662" s="2" t="s">
        <v>48</v>
      </c>
      <c r="D662" s="2" t="s">
        <v>37</v>
      </c>
      <c r="E662" s="2" t="s">
        <v>56</v>
      </c>
    </row>
    <row r="663" spans="1:5" ht="13" x14ac:dyDescent="0.15">
      <c r="A663" s="2" t="s">
        <v>23</v>
      </c>
      <c r="B663" s="2">
        <v>78385</v>
      </c>
      <c r="C663" s="2" t="s">
        <v>48</v>
      </c>
      <c r="D663" s="2" t="s">
        <v>38</v>
      </c>
      <c r="E663" s="2" t="s">
        <v>56</v>
      </c>
    </row>
    <row r="664" spans="1:5" ht="13" x14ac:dyDescent="0.15">
      <c r="A664" s="2" t="s">
        <v>23</v>
      </c>
      <c r="B664" s="2">
        <v>89462</v>
      </c>
      <c r="C664" s="2" t="s">
        <v>49</v>
      </c>
      <c r="D664" s="2" t="s">
        <v>37</v>
      </c>
      <c r="E664" s="2" t="s">
        <v>56</v>
      </c>
    </row>
    <row r="665" spans="1:5" ht="13" x14ac:dyDescent="0.15">
      <c r="A665" s="2" t="s">
        <v>23</v>
      </c>
      <c r="B665" s="2">
        <v>83195</v>
      </c>
      <c r="C665" s="2" t="s">
        <v>49</v>
      </c>
      <c r="D665" s="2" t="s">
        <v>38</v>
      </c>
      <c r="E665" s="2" t="s">
        <v>56</v>
      </c>
    </row>
    <row r="666" spans="1:5" ht="13" x14ac:dyDescent="0.15">
      <c r="A666" s="2" t="s">
        <v>23</v>
      </c>
      <c r="B666" s="2">
        <v>94048</v>
      </c>
      <c r="C666" s="2" t="s">
        <v>50</v>
      </c>
      <c r="D666" s="2" t="s">
        <v>37</v>
      </c>
      <c r="E666" s="2" t="s">
        <v>56</v>
      </c>
    </row>
    <row r="667" spans="1:5" ht="13" x14ac:dyDescent="0.15">
      <c r="A667" s="2" t="s">
        <v>23</v>
      </c>
      <c r="B667" s="2">
        <v>84940</v>
      </c>
      <c r="C667" s="2" t="s">
        <v>50</v>
      </c>
      <c r="D667" s="2" t="s">
        <v>38</v>
      </c>
      <c r="E667" s="2" t="s">
        <v>56</v>
      </c>
    </row>
    <row r="668" spans="1:5" ht="13" x14ac:dyDescent="0.15">
      <c r="A668" s="2" t="s">
        <v>23</v>
      </c>
      <c r="B668" s="2">
        <v>99624</v>
      </c>
      <c r="C668" s="2" t="s">
        <v>51</v>
      </c>
      <c r="D668" s="2" t="s">
        <v>37</v>
      </c>
      <c r="E668" s="2" t="s">
        <v>56</v>
      </c>
    </row>
    <row r="669" spans="1:5" ht="13" x14ac:dyDescent="0.15">
      <c r="A669" s="2" t="s">
        <v>23</v>
      </c>
      <c r="B669" s="2">
        <v>91562</v>
      </c>
      <c r="C669" s="2" t="s">
        <v>51</v>
      </c>
      <c r="D669" s="2" t="s">
        <v>38</v>
      </c>
      <c r="E669" s="2" t="s">
        <v>56</v>
      </c>
    </row>
    <row r="670" spans="1:5" ht="13" x14ac:dyDescent="0.15">
      <c r="A670" s="2" t="s">
        <v>23</v>
      </c>
      <c r="B670" s="2">
        <v>81188</v>
      </c>
      <c r="C670" s="2" t="s">
        <v>52</v>
      </c>
      <c r="D670" s="2" t="s">
        <v>37</v>
      </c>
      <c r="E670" s="2" t="s">
        <v>56</v>
      </c>
    </row>
    <row r="671" spans="1:5" ht="13" x14ac:dyDescent="0.15">
      <c r="A671" s="2" t="s">
        <v>23</v>
      </c>
      <c r="B671" s="2">
        <v>82315</v>
      </c>
      <c r="C671" s="2" t="s">
        <v>52</v>
      </c>
      <c r="D671" s="2" t="s">
        <v>38</v>
      </c>
      <c r="E671" s="2" t="s">
        <v>56</v>
      </c>
    </row>
    <row r="672" spans="1:5" ht="13" x14ac:dyDescent="0.15">
      <c r="A672" s="2" t="s">
        <v>23</v>
      </c>
      <c r="B672" s="2">
        <v>67800</v>
      </c>
      <c r="C672" s="2" t="s">
        <v>53</v>
      </c>
      <c r="D672" s="2" t="s">
        <v>37</v>
      </c>
      <c r="E672" s="2" t="s">
        <v>56</v>
      </c>
    </row>
    <row r="673" spans="1:5" ht="13" x14ac:dyDescent="0.15">
      <c r="A673" s="2" t="s">
        <v>23</v>
      </c>
      <c r="B673" s="2">
        <v>72269</v>
      </c>
      <c r="C673" s="2" t="s">
        <v>53</v>
      </c>
      <c r="D673" s="2" t="s">
        <v>38</v>
      </c>
      <c r="E673" s="2" t="s">
        <v>56</v>
      </c>
    </row>
    <row r="674" spans="1:5" ht="13" x14ac:dyDescent="0.15">
      <c r="A674" s="2" t="s">
        <v>23</v>
      </c>
      <c r="B674" s="2">
        <v>64724</v>
      </c>
      <c r="C674" s="2" t="s">
        <v>54</v>
      </c>
      <c r="D674" s="2" t="s">
        <v>37</v>
      </c>
      <c r="E674" s="2" t="s">
        <v>56</v>
      </c>
    </row>
    <row r="675" spans="1:5" ht="13" x14ac:dyDescent="0.15">
      <c r="A675" s="2" t="s">
        <v>23</v>
      </c>
      <c r="B675" s="2">
        <v>68353</v>
      </c>
      <c r="C675" s="2" t="s">
        <v>54</v>
      </c>
      <c r="D675" s="2" t="s">
        <v>38</v>
      </c>
      <c r="E675" s="2" t="s">
        <v>56</v>
      </c>
    </row>
    <row r="676" spans="1:5" ht="13" x14ac:dyDescent="0.15">
      <c r="A676" s="2" t="s">
        <v>23</v>
      </c>
      <c r="B676" s="2">
        <v>54545</v>
      </c>
      <c r="C676" s="2" t="s">
        <v>55</v>
      </c>
      <c r="D676" s="2" t="s">
        <v>37</v>
      </c>
      <c r="E676" s="2" t="s">
        <v>56</v>
      </c>
    </row>
    <row r="677" spans="1:5" ht="13" x14ac:dyDescent="0.15">
      <c r="A677" s="2" t="s">
        <v>23</v>
      </c>
      <c r="B677" s="2">
        <v>59602</v>
      </c>
      <c r="C677" s="2" t="s">
        <v>55</v>
      </c>
      <c r="D677" s="2" t="s">
        <v>38</v>
      </c>
      <c r="E677" s="2" t="s">
        <v>56</v>
      </c>
    </row>
    <row r="678" spans="1:5" ht="13" x14ac:dyDescent="0.15">
      <c r="A678" s="2" t="s">
        <v>23</v>
      </c>
      <c r="B678" s="2">
        <v>80092</v>
      </c>
      <c r="C678" s="2" t="s">
        <v>42</v>
      </c>
      <c r="D678" s="2" t="s">
        <v>37</v>
      </c>
      <c r="E678" s="2" t="s">
        <v>57</v>
      </c>
    </row>
    <row r="679" spans="1:5" ht="13" x14ac:dyDescent="0.15">
      <c r="A679" s="2" t="s">
        <v>23</v>
      </c>
      <c r="B679" s="2">
        <v>74808</v>
      </c>
      <c r="C679" s="2" t="s">
        <v>42</v>
      </c>
      <c r="D679" s="2" t="s">
        <v>38</v>
      </c>
      <c r="E679" s="2" t="s">
        <v>57</v>
      </c>
    </row>
    <row r="680" spans="1:5" ht="13" x14ac:dyDescent="0.15">
      <c r="A680" s="2" t="s">
        <v>23</v>
      </c>
      <c r="B680" s="2">
        <v>77592</v>
      </c>
      <c r="C680" s="2" t="s">
        <v>44</v>
      </c>
      <c r="D680" s="2" t="s">
        <v>37</v>
      </c>
      <c r="E680" s="2" t="s">
        <v>57</v>
      </c>
    </row>
    <row r="681" spans="1:5" ht="13" x14ac:dyDescent="0.15">
      <c r="A681" s="2" t="s">
        <v>23</v>
      </c>
      <c r="B681" s="2">
        <v>68230</v>
      </c>
      <c r="C681" s="2" t="s">
        <v>44</v>
      </c>
      <c r="D681" s="2" t="s">
        <v>38</v>
      </c>
      <c r="E681" s="2" t="s">
        <v>57</v>
      </c>
    </row>
    <row r="682" spans="1:5" ht="13" x14ac:dyDescent="0.15">
      <c r="A682" s="2" t="s">
        <v>23</v>
      </c>
      <c r="B682" s="2">
        <v>88656</v>
      </c>
      <c r="C682" s="2" t="s">
        <v>45</v>
      </c>
      <c r="D682" s="2" t="s">
        <v>37</v>
      </c>
      <c r="E682" s="2" t="s">
        <v>57</v>
      </c>
    </row>
    <row r="683" spans="1:5" ht="13" x14ac:dyDescent="0.15">
      <c r="A683" s="2" t="s">
        <v>23</v>
      </c>
      <c r="B683" s="2">
        <v>82175</v>
      </c>
      <c r="C683" s="2" t="s">
        <v>45</v>
      </c>
      <c r="D683" s="2" t="s">
        <v>38</v>
      </c>
      <c r="E683" s="2" t="s">
        <v>57</v>
      </c>
    </row>
    <row r="684" spans="1:5" ht="13" x14ac:dyDescent="0.15">
      <c r="A684" s="2" t="s">
        <v>23</v>
      </c>
      <c r="B684" s="2">
        <v>86654</v>
      </c>
      <c r="C684" s="2" t="s">
        <v>46</v>
      </c>
      <c r="D684" s="2" t="s">
        <v>37</v>
      </c>
      <c r="E684" s="2" t="s">
        <v>57</v>
      </c>
    </row>
    <row r="685" spans="1:5" ht="13" x14ac:dyDescent="0.15">
      <c r="A685" s="2" t="s">
        <v>23</v>
      </c>
      <c r="B685" s="2">
        <v>79764</v>
      </c>
      <c r="C685" s="2" t="s">
        <v>46</v>
      </c>
      <c r="D685" s="2" t="s">
        <v>38</v>
      </c>
      <c r="E685" s="2" t="s">
        <v>57</v>
      </c>
    </row>
    <row r="686" spans="1:5" ht="13" x14ac:dyDescent="0.15">
      <c r="A686" s="2" t="s">
        <v>23</v>
      </c>
      <c r="B686" s="2">
        <v>72161</v>
      </c>
      <c r="C686" s="2" t="s">
        <v>47</v>
      </c>
      <c r="D686" s="2" t="s">
        <v>37</v>
      </c>
      <c r="E686" s="2" t="s">
        <v>57</v>
      </c>
    </row>
    <row r="687" spans="1:5" ht="13" x14ac:dyDescent="0.15">
      <c r="A687" s="2" t="s">
        <v>23</v>
      </c>
      <c r="B687" s="2">
        <v>65226</v>
      </c>
      <c r="C687" s="2" t="s">
        <v>47</v>
      </c>
      <c r="D687" s="2" t="s">
        <v>38</v>
      </c>
      <c r="E687" s="2" t="s">
        <v>57</v>
      </c>
    </row>
    <row r="688" spans="1:5" ht="13" x14ac:dyDescent="0.15">
      <c r="A688" s="2" t="s">
        <v>23</v>
      </c>
      <c r="B688" s="2">
        <v>80566</v>
      </c>
      <c r="C688" s="2" t="s">
        <v>48</v>
      </c>
      <c r="D688" s="2" t="s">
        <v>37</v>
      </c>
      <c r="E688" s="2" t="s">
        <v>57</v>
      </c>
    </row>
    <row r="689" spans="1:5" ht="13" x14ac:dyDescent="0.15">
      <c r="A689" s="2" t="s">
        <v>23</v>
      </c>
      <c r="B689" s="2">
        <v>74978</v>
      </c>
      <c r="C689" s="2" t="s">
        <v>48</v>
      </c>
      <c r="D689" s="2" t="s">
        <v>38</v>
      </c>
      <c r="E689" s="2" t="s">
        <v>57</v>
      </c>
    </row>
    <row r="690" spans="1:5" ht="13" x14ac:dyDescent="0.15">
      <c r="A690" s="2" t="s">
        <v>23</v>
      </c>
      <c r="B690" s="2">
        <v>83502</v>
      </c>
      <c r="C690" s="2" t="s">
        <v>49</v>
      </c>
      <c r="D690" s="2" t="s">
        <v>37</v>
      </c>
      <c r="E690" s="2" t="s">
        <v>57</v>
      </c>
    </row>
    <row r="691" spans="1:5" ht="13" x14ac:dyDescent="0.15">
      <c r="A691" s="2" t="s">
        <v>23</v>
      </c>
      <c r="B691" s="2">
        <v>77650</v>
      </c>
      <c r="C691" s="2" t="s">
        <v>49</v>
      </c>
      <c r="D691" s="2" t="s">
        <v>38</v>
      </c>
      <c r="E691" s="2" t="s">
        <v>57</v>
      </c>
    </row>
    <row r="692" spans="1:5" ht="13" x14ac:dyDescent="0.15">
      <c r="A692" s="2" t="s">
        <v>23</v>
      </c>
      <c r="B692" s="2">
        <v>88579</v>
      </c>
      <c r="C692" s="2" t="s">
        <v>50</v>
      </c>
      <c r="D692" s="2" t="s">
        <v>37</v>
      </c>
      <c r="E692" s="2" t="s">
        <v>57</v>
      </c>
    </row>
    <row r="693" spans="1:5" ht="13" x14ac:dyDescent="0.15">
      <c r="A693" s="2" t="s">
        <v>23</v>
      </c>
      <c r="B693" s="2">
        <v>81075</v>
      </c>
      <c r="C693" s="2" t="s">
        <v>50</v>
      </c>
      <c r="D693" s="2" t="s">
        <v>38</v>
      </c>
      <c r="E693" s="2" t="s">
        <v>57</v>
      </c>
    </row>
    <row r="694" spans="1:5" ht="13" x14ac:dyDescent="0.15">
      <c r="A694" s="2" t="s">
        <v>23</v>
      </c>
      <c r="B694" s="2">
        <v>92811</v>
      </c>
      <c r="C694" s="2" t="s">
        <v>51</v>
      </c>
      <c r="D694" s="2" t="s">
        <v>37</v>
      </c>
      <c r="E694" s="2" t="s">
        <v>57</v>
      </c>
    </row>
    <row r="695" spans="1:5" ht="13" x14ac:dyDescent="0.15">
      <c r="A695" s="2" t="s">
        <v>23</v>
      </c>
      <c r="B695" s="2">
        <v>84052</v>
      </c>
      <c r="C695" s="2" t="s">
        <v>51</v>
      </c>
      <c r="D695" s="2" t="s">
        <v>38</v>
      </c>
      <c r="E695" s="2" t="s">
        <v>57</v>
      </c>
    </row>
    <row r="696" spans="1:5" ht="13" x14ac:dyDescent="0.15">
      <c r="A696" s="2" t="s">
        <v>23</v>
      </c>
      <c r="B696" s="2">
        <v>95209</v>
      </c>
      <c r="C696" s="2" t="s">
        <v>52</v>
      </c>
      <c r="D696" s="2" t="s">
        <v>37</v>
      </c>
      <c r="E696" s="2" t="s">
        <v>57</v>
      </c>
    </row>
    <row r="697" spans="1:5" ht="13" x14ac:dyDescent="0.15">
      <c r="A697" s="2" t="s">
        <v>23</v>
      </c>
      <c r="B697" s="2">
        <v>90108</v>
      </c>
      <c r="C697" s="2" t="s">
        <v>52</v>
      </c>
      <c r="D697" s="2" t="s">
        <v>38</v>
      </c>
      <c r="E697" s="2" t="s">
        <v>57</v>
      </c>
    </row>
    <row r="698" spans="1:5" ht="13" x14ac:dyDescent="0.15">
      <c r="A698" s="2" t="s">
        <v>23</v>
      </c>
      <c r="B698" s="2">
        <v>77465</v>
      </c>
      <c r="C698" s="2" t="s">
        <v>53</v>
      </c>
      <c r="D698" s="2" t="s">
        <v>37</v>
      </c>
      <c r="E698" s="2" t="s">
        <v>57</v>
      </c>
    </row>
    <row r="699" spans="1:5" ht="13" x14ac:dyDescent="0.15">
      <c r="A699" s="2" t="s">
        <v>23</v>
      </c>
      <c r="B699" s="2">
        <v>80782</v>
      </c>
      <c r="C699" s="2" t="s">
        <v>53</v>
      </c>
      <c r="D699" s="2" t="s">
        <v>38</v>
      </c>
      <c r="E699" s="2" t="s">
        <v>57</v>
      </c>
    </row>
    <row r="700" spans="1:5" ht="13" x14ac:dyDescent="0.15">
      <c r="A700" s="2" t="s">
        <v>23</v>
      </c>
      <c r="B700" s="2">
        <v>66126</v>
      </c>
      <c r="C700" s="2" t="s">
        <v>54</v>
      </c>
      <c r="D700" s="2" t="s">
        <v>37</v>
      </c>
      <c r="E700" s="2" t="s">
        <v>57</v>
      </c>
    </row>
    <row r="701" spans="1:5" ht="13" x14ac:dyDescent="0.15">
      <c r="A701" s="2" t="s">
        <v>23</v>
      </c>
      <c r="B701" s="2">
        <v>71624</v>
      </c>
      <c r="C701" s="2" t="s">
        <v>54</v>
      </c>
      <c r="D701" s="2" t="s">
        <v>38</v>
      </c>
      <c r="E701" s="2" t="s">
        <v>57</v>
      </c>
    </row>
    <row r="702" spans="1:5" ht="13" x14ac:dyDescent="0.15">
      <c r="A702" s="2" t="s">
        <v>23</v>
      </c>
      <c r="B702" s="2">
        <v>58850</v>
      </c>
      <c r="C702" s="2" t="s">
        <v>55</v>
      </c>
      <c r="D702" s="2" t="s">
        <v>37</v>
      </c>
      <c r="E702" s="2" t="s">
        <v>57</v>
      </c>
    </row>
    <row r="703" spans="1:5" ht="13" x14ac:dyDescent="0.15">
      <c r="A703" s="2" t="s">
        <v>23</v>
      </c>
      <c r="B703" s="2">
        <v>65185</v>
      </c>
      <c r="C703" s="2" t="s">
        <v>55</v>
      </c>
      <c r="D703" s="2" t="s">
        <v>38</v>
      </c>
      <c r="E703" s="2" t="s">
        <v>57</v>
      </c>
    </row>
    <row r="704" spans="1:5" ht="13" x14ac:dyDescent="0.15">
      <c r="A704" s="2" t="s">
        <v>24</v>
      </c>
      <c r="B704" s="2">
        <v>92032</v>
      </c>
      <c r="C704" s="2" t="s">
        <v>42</v>
      </c>
      <c r="D704" s="2" t="s">
        <v>37</v>
      </c>
      <c r="E704" s="2" t="s">
        <v>43</v>
      </c>
    </row>
    <row r="705" spans="1:5" ht="13" x14ac:dyDescent="0.15">
      <c r="A705" s="2" t="s">
        <v>24</v>
      </c>
      <c r="B705" s="2">
        <v>85851</v>
      </c>
      <c r="C705" s="2" t="s">
        <v>42</v>
      </c>
      <c r="D705" s="2" t="s">
        <v>38</v>
      </c>
      <c r="E705" s="2" t="s">
        <v>43</v>
      </c>
    </row>
    <row r="706" spans="1:5" ht="13" x14ac:dyDescent="0.15">
      <c r="A706" s="2" t="s">
        <v>24</v>
      </c>
      <c r="B706" s="2">
        <v>93437</v>
      </c>
      <c r="C706" s="2" t="s">
        <v>44</v>
      </c>
      <c r="D706" s="2" t="s">
        <v>37</v>
      </c>
      <c r="E706" s="2" t="s">
        <v>43</v>
      </c>
    </row>
    <row r="707" spans="1:5" ht="13" x14ac:dyDescent="0.15">
      <c r="A707" s="2" t="s">
        <v>24</v>
      </c>
      <c r="B707" s="2">
        <v>84711</v>
      </c>
      <c r="C707" s="2" t="s">
        <v>44</v>
      </c>
      <c r="D707" s="2" t="s">
        <v>38</v>
      </c>
      <c r="E707" s="2" t="s">
        <v>43</v>
      </c>
    </row>
    <row r="708" spans="1:5" ht="13" x14ac:dyDescent="0.15">
      <c r="A708" s="2" t="s">
        <v>24</v>
      </c>
      <c r="B708" s="2">
        <v>72911</v>
      </c>
      <c r="C708" s="2" t="s">
        <v>45</v>
      </c>
      <c r="D708" s="2" t="s">
        <v>37</v>
      </c>
      <c r="E708" s="2" t="s">
        <v>43</v>
      </c>
    </row>
    <row r="709" spans="1:5" ht="13" x14ac:dyDescent="0.15">
      <c r="A709" s="2" t="s">
        <v>24</v>
      </c>
      <c r="B709" s="2">
        <v>65777</v>
      </c>
      <c r="C709" s="2" t="s">
        <v>45</v>
      </c>
      <c r="D709" s="2" t="s">
        <v>38</v>
      </c>
      <c r="E709" s="2" t="s">
        <v>43</v>
      </c>
    </row>
    <row r="710" spans="1:5" ht="13" x14ac:dyDescent="0.15">
      <c r="A710" s="2" t="s">
        <v>24</v>
      </c>
      <c r="B710" s="2">
        <v>83907</v>
      </c>
      <c r="C710" s="2" t="s">
        <v>46</v>
      </c>
      <c r="D710" s="2" t="s">
        <v>37</v>
      </c>
      <c r="E710" s="2" t="s">
        <v>43</v>
      </c>
    </row>
    <row r="711" spans="1:5" ht="13" x14ac:dyDescent="0.15">
      <c r="A711" s="2" t="s">
        <v>24</v>
      </c>
      <c r="B711" s="2">
        <v>76675</v>
      </c>
      <c r="C711" s="2" t="s">
        <v>46</v>
      </c>
      <c r="D711" s="2" t="s">
        <v>38</v>
      </c>
      <c r="E711" s="2" t="s">
        <v>43</v>
      </c>
    </row>
    <row r="712" spans="1:5" ht="13" x14ac:dyDescent="0.15">
      <c r="A712" s="2" t="s">
        <v>24</v>
      </c>
      <c r="B712" s="2">
        <v>89260</v>
      </c>
      <c r="C712" s="2" t="s">
        <v>47</v>
      </c>
      <c r="D712" s="2" t="s">
        <v>37</v>
      </c>
      <c r="E712" s="2" t="s">
        <v>43</v>
      </c>
    </row>
    <row r="713" spans="1:5" ht="13" x14ac:dyDescent="0.15">
      <c r="A713" s="2" t="s">
        <v>24</v>
      </c>
      <c r="B713" s="2">
        <v>81982</v>
      </c>
      <c r="C713" s="2" t="s">
        <v>47</v>
      </c>
      <c r="D713" s="2" t="s">
        <v>38</v>
      </c>
      <c r="E713" s="2" t="s">
        <v>43</v>
      </c>
    </row>
    <row r="714" spans="1:5" ht="13" x14ac:dyDescent="0.15">
      <c r="A714" s="2" t="s">
        <v>24</v>
      </c>
      <c r="B714" s="2">
        <v>90553</v>
      </c>
      <c r="C714" s="2" t="s">
        <v>48</v>
      </c>
      <c r="D714" s="2" t="s">
        <v>37</v>
      </c>
      <c r="E714" s="2" t="s">
        <v>43</v>
      </c>
    </row>
    <row r="715" spans="1:5" ht="13" x14ac:dyDescent="0.15">
      <c r="A715" s="2" t="s">
        <v>24</v>
      </c>
      <c r="B715" s="2">
        <v>83991</v>
      </c>
      <c r="C715" s="2" t="s">
        <v>48</v>
      </c>
      <c r="D715" s="2" t="s">
        <v>38</v>
      </c>
      <c r="E715" s="2" t="s">
        <v>43</v>
      </c>
    </row>
    <row r="716" spans="1:5" ht="13" x14ac:dyDescent="0.15">
      <c r="A716" s="2" t="s">
        <v>24</v>
      </c>
      <c r="B716" s="2">
        <v>91174</v>
      </c>
      <c r="C716" s="2" t="s">
        <v>49</v>
      </c>
      <c r="D716" s="2" t="s">
        <v>37</v>
      </c>
      <c r="E716" s="2" t="s">
        <v>43</v>
      </c>
    </row>
    <row r="717" spans="1:5" ht="13" x14ac:dyDescent="0.15">
      <c r="A717" s="2" t="s">
        <v>24</v>
      </c>
      <c r="B717" s="2">
        <v>84336</v>
      </c>
      <c r="C717" s="2" t="s">
        <v>49</v>
      </c>
      <c r="D717" s="2" t="s">
        <v>38</v>
      </c>
      <c r="E717" s="2" t="s">
        <v>43</v>
      </c>
    </row>
    <row r="718" spans="1:5" ht="13" x14ac:dyDescent="0.15">
      <c r="A718" s="2" t="s">
        <v>24</v>
      </c>
      <c r="B718" s="2">
        <v>106811</v>
      </c>
      <c r="C718" s="2" t="s">
        <v>50</v>
      </c>
      <c r="D718" s="2" t="s">
        <v>37</v>
      </c>
      <c r="E718" s="2" t="s">
        <v>43</v>
      </c>
    </row>
    <row r="719" spans="1:5" ht="13" x14ac:dyDescent="0.15">
      <c r="A719" s="2" t="s">
        <v>24</v>
      </c>
      <c r="B719" s="2">
        <v>96611</v>
      </c>
      <c r="C719" s="2" t="s">
        <v>50</v>
      </c>
      <c r="D719" s="2" t="s">
        <v>38</v>
      </c>
      <c r="E719" s="2" t="s">
        <v>43</v>
      </c>
    </row>
    <row r="720" spans="1:5" ht="13" x14ac:dyDescent="0.15">
      <c r="A720" s="2" t="s">
        <v>24</v>
      </c>
      <c r="B720" s="2">
        <v>86156</v>
      </c>
      <c r="C720" s="2" t="s">
        <v>51</v>
      </c>
      <c r="D720" s="2" t="s">
        <v>37</v>
      </c>
      <c r="E720" s="2" t="s">
        <v>43</v>
      </c>
    </row>
    <row r="721" spans="1:5" ht="13" x14ac:dyDescent="0.15">
      <c r="A721" s="2" t="s">
        <v>24</v>
      </c>
      <c r="B721" s="2">
        <v>86277</v>
      </c>
      <c r="C721" s="2" t="s">
        <v>51</v>
      </c>
      <c r="D721" s="2" t="s">
        <v>38</v>
      </c>
      <c r="E721" s="2" t="s">
        <v>43</v>
      </c>
    </row>
    <row r="722" spans="1:5" ht="13" x14ac:dyDescent="0.15">
      <c r="A722" s="2" t="s">
        <v>24</v>
      </c>
      <c r="B722" s="2">
        <v>74188</v>
      </c>
      <c r="C722" s="2" t="s">
        <v>52</v>
      </c>
      <c r="D722" s="2" t="s">
        <v>37</v>
      </c>
      <c r="E722" s="2" t="s">
        <v>43</v>
      </c>
    </row>
    <row r="723" spans="1:5" ht="13" x14ac:dyDescent="0.15">
      <c r="A723" s="2" t="s">
        <v>24</v>
      </c>
      <c r="B723" s="2">
        <v>77484</v>
      </c>
      <c r="C723" s="2" t="s">
        <v>52</v>
      </c>
      <c r="D723" s="2" t="s">
        <v>38</v>
      </c>
      <c r="E723" s="2" t="s">
        <v>43</v>
      </c>
    </row>
    <row r="724" spans="1:5" ht="13" x14ac:dyDescent="0.15">
      <c r="A724" s="2" t="s">
        <v>24</v>
      </c>
      <c r="B724" s="2">
        <v>66146</v>
      </c>
      <c r="C724" s="2" t="s">
        <v>53</v>
      </c>
      <c r="D724" s="2" t="s">
        <v>37</v>
      </c>
      <c r="E724" s="2" t="s">
        <v>43</v>
      </c>
    </row>
    <row r="725" spans="1:5" ht="13" x14ac:dyDescent="0.15">
      <c r="A725" s="2" t="s">
        <v>24</v>
      </c>
      <c r="B725" s="2">
        <v>72078</v>
      </c>
      <c r="C725" s="2" t="s">
        <v>53</v>
      </c>
      <c r="D725" s="2" t="s">
        <v>38</v>
      </c>
      <c r="E725" s="2" t="s">
        <v>43</v>
      </c>
    </row>
    <row r="726" spans="1:5" ht="13" x14ac:dyDescent="0.15">
      <c r="A726" s="2" t="s">
        <v>24</v>
      </c>
      <c r="B726" s="2">
        <v>62282</v>
      </c>
      <c r="C726" s="2" t="s">
        <v>54</v>
      </c>
      <c r="D726" s="2" t="s">
        <v>37</v>
      </c>
      <c r="E726" s="2" t="s">
        <v>43</v>
      </c>
    </row>
    <row r="727" spans="1:5" ht="13" x14ac:dyDescent="0.15">
      <c r="A727" s="2" t="s">
        <v>24</v>
      </c>
      <c r="B727" s="2">
        <v>66940</v>
      </c>
      <c r="C727" s="2" t="s">
        <v>54</v>
      </c>
      <c r="D727" s="2" t="s">
        <v>38</v>
      </c>
      <c r="E727" s="2" t="s">
        <v>43</v>
      </c>
    </row>
    <row r="728" spans="1:5" ht="13" x14ac:dyDescent="0.15">
      <c r="A728" s="2" t="s">
        <v>24</v>
      </c>
      <c r="B728" s="2">
        <v>50774</v>
      </c>
      <c r="C728" s="2" t="s">
        <v>55</v>
      </c>
      <c r="D728" s="2" t="s">
        <v>37</v>
      </c>
      <c r="E728" s="2" t="s">
        <v>43</v>
      </c>
    </row>
    <row r="729" spans="1:5" ht="13" x14ac:dyDescent="0.15">
      <c r="A729" s="2" t="s">
        <v>24</v>
      </c>
      <c r="B729" s="2">
        <v>59682</v>
      </c>
      <c r="C729" s="2" t="s">
        <v>55</v>
      </c>
      <c r="D729" s="2" t="s">
        <v>38</v>
      </c>
      <c r="E729" s="2" t="s">
        <v>43</v>
      </c>
    </row>
    <row r="730" spans="1:5" ht="13" x14ac:dyDescent="0.15">
      <c r="A730" s="2" t="s">
        <v>24</v>
      </c>
      <c r="B730" s="2">
        <v>81596</v>
      </c>
      <c r="C730" s="2" t="s">
        <v>42</v>
      </c>
      <c r="D730" s="2" t="s">
        <v>37</v>
      </c>
      <c r="E730" s="2" t="s">
        <v>56</v>
      </c>
    </row>
    <row r="731" spans="1:5" ht="13" x14ac:dyDescent="0.15">
      <c r="A731" s="2" t="s">
        <v>24</v>
      </c>
      <c r="B731" s="2">
        <v>74054</v>
      </c>
      <c r="C731" s="2" t="s">
        <v>42</v>
      </c>
      <c r="D731" s="2" t="s">
        <v>38</v>
      </c>
      <c r="E731" s="2" t="s">
        <v>56</v>
      </c>
    </row>
    <row r="732" spans="1:5" ht="13" x14ac:dyDescent="0.15">
      <c r="A732" s="2" t="s">
        <v>24</v>
      </c>
      <c r="B732" s="2">
        <v>94407</v>
      </c>
      <c r="C732" s="2" t="s">
        <v>44</v>
      </c>
      <c r="D732" s="2" t="s">
        <v>37</v>
      </c>
      <c r="E732" s="2" t="s">
        <v>56</v>
      </c>
    </row>
    <row r="733" spans="1:5" ht="13" x14ac:dyDescent="0.15">
      <c r="A733" s="2" t="s">
        <v>24</v>
      </c>
      <c r="B733" s="2">
        <v>86582</v>
      </c>
      <c r="C733" s="2" t="s">
        <v>44</v>
      </c>
      <c r="D733" s="2" t="s">
        <v>38</v>
      </c>
      <c r="E733" s="2" t="s">
        <v>56</v>
      </c>
    </row>
    <row r="734" spans="1:5" ht="13" x14ac:dyDescent="0.15">
      <c r="A734" s="2" t="s">
        <v>24</v>
      </c>
      <c r="B734" s="2">
        <v>91439</v>
      </c>
      <c r="C734" s="2" t="s">
        <v>45</v>
      </c>
      <c r="D734" s="2" t="s">
        <v>37</v>
      </c>
      <c r="E734" s="2" t="s">
        <v>56</v>
      </c>
    </row>
    <row r="735" spans="1:5" ht="13" x14ac:dyDescent="0.15">
      <c r="A735" s="2" t="s">
        <v>24</v>
      </c>
      <c r="B735" s="2">
        <v>83887</v>
      </c>
      <c r="C735" s="2" t="s">
        <v>45</v>
      </c>
      <c r="D735" s="2" t="s">
        <v>38</v>
      </c>
      <c r="E735" s="2" t="s">
        <v>56</v>
      </c>
    </row>
    <row r="736" spans="1:5" ht="13" x14ac:dyDescent="0.15">
      <c r="A736" s="2" t="s">
        <v>24</v>
      </c>
      <c r="B736" s="2">
        <v>72711</v>
      </c>
      <c r="C736" s="2" t="s">
        <v>46</v>
      </c>
      <c r="D736" s="2" t="s">
        <v>37</v>
      </c>
      <c r="E736" s="2" t="s">
        <v>56</v>
      </c>
    </row>
    <row r="737" spans="1:5" ht="13" x14ac:dyDescent="0.15">
      <c r="A737" s="2" t="s">
        <v>24</v>
      </c>
      <c r="B737" s="2">
        <v>65826</v>
      </c>
      <c r="C737" s="2" t="s">
        <v>46</v>
      </c>
      <c r="D737" s="2" t="s">
        <v>38</v>
      </c>
      <c r="E737" s="2" t="s">
        <v>56</v>
      </c>
    </row>
    <row r="738" spans="1:5" ht="13" x14ac:dyDescent="0.15">
      <c r="A738" s="2" t="s">
        <v>24</v>
      </c>
      <c r="B738" s="2">
        <v>83055</v>
      </c>
      <c r="C738" s="2" t="s">
        <v>47</v>
      </c>
      <c r="D738" s="2" t="s">
        <v>37</v>
      </c>
      <c r="E738" s="2" t="s">
        <v>56</v>
      </c>
    </row>
    <row r="739" spans="1:5" ht="13" x14ac:dyDescent="0.15">
      <c r="A739" s="2" t="s">
        <v>24</v>
      </c>
      <c r="B739" s="2">
        <v>76469</v>
      </c>
      <c r="C739" s="2" t="s">
        <v>47</v>
      </c>
      <c r="D739" s="2" t="s">
        <v>38</v>
      </c>
      <c r="E739" s="2" t="s">
        <v>56</v>
      </c>
    </row>
    <row r="740" spans="1:5" ht="13" x14ac:dyDescent="0.15">
      <c r="A740" s="2" t="s">
        <v>24</v>
      </c>
      <c r="B740" s="2">
        <v>87826</v>
      </c>
      <c r="C740" s="2" t="s">
        <v>48</v>
      </c>
      <c r="D740" s="2" t="s">
        <v>37</v>
      </c>
      <c r="E740" s="2" t="s">
        <v>56</v>
      </c>
    </row>
    <row r="741" spans="1:5" ht="13" x14ac:dyDescent="0.15">
      <c r="A741" s="2" t="s">
        <v>24</v>
      </c>
      <c r="B741" s="2">
        <v>81590</v>
      </c>
      <c r="C741" s="2" t="s">
        <v>48</v>
      </c>
      <c r="D741" s="2" t="s">
        <v>38</v>
      </c>
      <c r="E741" s="2" t="s">
        <v>56</v>
      </c>
    </row>
    <row r="742" spans="1:5" ht="13" x14ac:dyDescent="0.15">
      <c r="A742" s="2" t="s">
        <v>24</v>
      </c>
      <c r="B742" s="2">
        <v>88596</v>
      </c>
      <c r="C742" s="2" t="s">
        <v>49</v>
      </c>
      <c r="D742" s="2" t="s">
        <v>37</v>
      </c>
      <c r="E742" s="2" t="s">
        <v>56</v>
      </c>
    </row>
    <row r="743" spans="1:5" ht="13" x14ac:dyDescent="0.15">
      <c r="A743" s="2" t="s">
        <v>24</v>
      </c>
      <c r="B743" s="2">
        <v>83422</v>
      </c>
      <c r="C743" s="2" t="s">
        <v>49</v>
      </c>
      <c r="D743" s="2" t="s">
        <v>38</v>
      </c>
      <c r="E743" s="2" t="s">
        <v>56</v>
      </c>
    </row>
    <row r="744" spans="1:5" ht="13" x14ac:dyDescent="0.15">
      <c r="A744" s="2" t="s">
        <v>24</v>
      </c>
      <c r="B744" s="2">
        <v>92805</v>
      </c>
      <c r="C744" s="2" t="s">
        <v>50</v>
      </c>
      <c r="D744" s="2" t="s">
        <v>37</v>
      </c>
      <c r="E744" s="2" t="s">
        <v>56</v>
      </c>
    </row>
    <row r="745" spans="1:5" ht="13" x14ac:dyDescent="0.15">
      <c r="A745" s="2" t="s">
        <v>24</v>
      </c>
      <c r="B745" s="2">
        <v>84135</v>
      </c>
      <c r="C745" s="2" t="s">
        <v>50</v>
      </c>
      <c r="D745" s="2" t="s">
        <v>38</v>
      </c>
      <c r="E745" s="2" t="s">
        <v>56</v>
      </c>
    </row>
    <row r="746" spans="1:5" ht="13" x14ac:dyDescent="0.15">
      <c r="A746" s="2" t="s">
        <v>24</v>
      </c>
      <c r="B746" s="2">
        <v>96304</v>
      </c>
      <c r="C746" s="2" t="s">
        <v>51</v>
      </c>
      <c r="D746" s="2" t="s">
        <v>37</v>
      </c>
      <c r="E746" s="2" t="s">
        <v>56</v>
      </c>
    </row>
    <row r="747" spans="1:5" ht="13" x14ac:dyDescent="0.15">
      <c r="A747" s="2" t="s">
        <v>24</v>
      </c>
      <c r="B747" s="2">
        <v>93175</v>
      </c>
      <c r="C747" s="2" t="s">
        <v>51</v>
      </c>
      <c r="D747" s="2" t="s">
        <v>38</v>
      </c>
      <c r="E747" s="2" t="s">
        <v>56</v>
      </c>
    </row>
    <row r="748" spans="1:5" ht="13" x14ac:dyDescent="0.15">
      <c r="A748" s="2" t="s">
        <v>24</v>
      </c>
      <c r="B748" s="2">
        <v>78736</v>
      </c>
      <c r="C748" s="2" t="s">
        <v>52</v>
      </c>
      <c r="D748" s="2" t="s">
        <v>37</v>
      </c>
      <c r="E748" s="2" t="s">
        <v>56</v>
      </c>
    </row>
    <row r="749" spans="1:5" ht="13" x14ac:dyDescent="0.15">
      <c r="A749" s="2" t="s">
        <v>24</v>
      </c>
      <c r="B749" s="2">
        <v>83106</v>
      </c>
      <c r="C749" s="2" t="s">
        <v>52</v>
      </c>
      <c r="D749" s="2" t="s">
        <v>38</v>
      </c>
      <c r="E749" s="2" t="s">
        <v>56</v>
      </c>
    </row>
    <row r="750" spans="1:5" ht="13" x14ac:dyDescent="0.15">
      <c r="A750" s="2" t="s">
        <v>24</v>
      </c>
      <c r="B750" s="2">
        <v>68678</v>
      </c>
      <c r="C750" s="2" t="s">
        <v>53</v>
      </c>
      <c r="D750" s="2" t="s">
        <v>37</v>
      </c>
      <c r="E750" s="2" t="s">
        <v>56</v>
      </c>
    </row>
    <row r="751" spans="1:5" ht="13" x14ac:dyDescent="0.15">
      <c r="A751" s="2" t="s">
        <v>24</v>
      </c>
      <c r="B751" s="2">
        <v>74720</v>
      </c>
      <c r="C751" s="2" t="s">
        <v>53</v>
      </c>
      <c r="D751" s="2" t="s">
        <v>38</v>
      </c>
      <c r="E751" s="2" t="s">
        <v>56</v>
      </c>
    </row>
    <row r="752" spans="1:5" ht="13" x14ac:dyDescent="0.15">
      <c r="A752" s="2" t="s">
        <v>24</v>
      </c>
      <c r="B752" s="2">
        <v>65804</v>
      </c>
      <c r="C752" s="2" t="s">
        <v>54</v>
      </c>
      <c r="D752" s="2" t="s">
        <v>37</v>
      </c>
      <c r="E752" s="2" t="s">
        <v>56</v>
      </c>
    </row>
    <row r="753" spans="1:5" ht="13" x14ac:dyDescent="0.15">
      <c r="A753" s="2" t="s">
        <v>24</v>
      </c>
      <c r="B753" s="2">
        <v>70578</v>
      </c>
      <c r="C753" s="2" t="s">
        <v>54</v>
      </c>
      <c r="D753" s="2" t="s">
        <v>38</v>
      </c>
      <c r="E753" s="2" t="s">
        <v>56</v>
      </c>
    </row>
    <row r="754" spans="1:5" ht="13" x14ac:dyDescent="0.15">
      <c r="A754" s="2" t="s">
        <v>24</v>
      </c>
      <c r="B754" s="2">
        <v>56744</v>
      </c>
      <c r="C754" s="2" t="s">
        <v>55</v>
      </c>
      <c r="D754" s="2" t="s">
        <v>37</v>
      </c>
      <c r="E754" s="2" t="s">
        <v>56</v>
      </c>
    </row>
    <row r="755" spans="1:5" ht="13" x14ac:dyDescent="0.15">
      <c r="A755" s="2" t="s">
        <v>24</v>
      </c>
      <c r="B755" s="2">
        <v>62999</v>
      </c>
      <c r="C755" s="2" t="s">
        <v>55</v>
      </c>
      <c r="D755" s="2" t="s">
        <v>38</v>
      </c>
      <c r="E755" s="2" t="s">
        <v>56</v>
      </c>
    </row>
    <row r="756" spans="1:5" ht="13" x14ac:dyDescent="0.15">
      <c r="A756" s="2" t="s">
        <v>24</v>
      </c>
      <c r="B756" s="2">
        <v>82368</v>
      </c>
      <c r="C756" s="2" t="s">
        <v>42</v>
      </c>
      <c r="D756" s="2" t="s">
        <v>37</v>
      </c>
      <c r="E756" s="2" t="s">
        <v>57</v>
      </c>
    </row>
    <row r="757" spans="1:5" ht="13" x14ac:dyDescent="0.15">
      <c r="A757" s="2" t="s">
        <v>24</v>
      </c>
      <c r="B757" s="2">
        <v>76849</v>
      </c>
      <c r="C757" s="2" t="s">
        <v>42</v>
      </c>
      <c r="D757" s="2" t="s">
        <v>38</v>
      </c>
      <c r="E757" s="2" t="s">
        <v>57</v>
      </c>
    </row>
    <row r="758" spans="1:5" ht="13" x14ac:dyDescent="0.15">
      <c r="A758" s="2" t="s">
        <v>24</v>
      </c>
      <c r="B758" s="2">
        <v>82078</v>
      </c>
      <c r="C758" s="2" t="s">
        <v>44</v>
      </c>
      <c r="D758" s="2" t="s">
        <v>37</v>
      </c>
      <c r="E758" s="2" t="s">
        <v>57</v>
      </c>
    </row>
    <row r="759" spans="1:5" ht="13" x14ac:dyDescent="0.15">
      <c r="A759" s="2" t="s">
        <v>24</v>
      </c>
      <c r="B759" s="2">
        <v>72862</v>
      </c>
      <c r="C759" s="2" t="s">
        <v>44</v>
      </c>
      <c r="D759" s="2" t="s">
        <v>38</v>
      </c>
      <c r="E759" s="2" t="s">
        <v>57</v>
      </c>
    </row>
    <row r="760" spans="1:5" ht="13" x14ac:dyDescent="0.15">
      <c r="A760" s="2" t="s">
        <v>24</v>
      </c>
      <c r="B760" s="2">
        <v>88682</v>
      </c>
      <c r="C760" s="2" t="s">
        <v>45</v>
      </c>
      <c r="D760" s="2" t="s">
        <v>37</v>
      </c>
      <c r="E760" s="2" t="s">
        <v>57</v>
      </c>
    </row>
    <row r="761" spans="1:5" ht="13" x14ac:dyDescent="0.15">
      <c r="A761" s="2" t="s">
        <v>24</v>
      </c>
      <c r="B761" s="2">
        <v>82479</v>
      </c>
      <c r="C761" s="2" t="s">
        <v>45</v>
      </c>
      <c r="D761" s="2" t="s">
        <v>38</v>
      </c>
      <c r="E761" s="2" t="s">
        <v>57</v>
      </c>
    </row>
    <row r="762" spans="1:5" ht="13" x14ac:dyDescent="0.15">
      <c r="A762" s="2" t="s">
        <v>24</v>
      </c>
      <c r="B762" s="2">
        <v>87115</v>
      </c>
      <c r="C762" s="2" t="s">
        <v>46</v>
      </c>
      <c r="D762" s="2" t="s">
        <v>37</v>
      </c>
      <c r="E762" s="2" t="s">
        <v>57</v>
      </c>
    </row>
    <row r="763" spans="1:5" ht="13" x14ac:dyDescent="0.15">
      <c r="A763" s="2" t="s">
        <v>24</v>
      </c>
      <c r="B763" s="2">
        <v>80633</v>
      </c>
      <c r="C763" s="2" t="s">
        <v>46</v>
      </c>
      <c r="D763" s="2" t="s">
        <v>38</v>
      </c>
      <c r="E763" s="2" t="s">
        <v>57</v>
      </c>
    </row>
    <row r="764" spans="1:5" ht="13" x14ac:dyDescent="0.15">
      <c r="A764" s="2" t="s">
        <v>24</v>
      </c>
      <c r="B764" s="2">
        <v>69507</v>
      </c>
      <c r="C764" s="2" t="s">
        <v>47</v>
      </c>
      <c r="D764" s="2" t="s">
        <v>37</v>
      </c>
      <c r="E764" s="2" t="s">
        <v>57</v>
      </c>
    </row>
    <row r="765" spans="1:5" ht="13" x14ac:dyDescent="0.15">
      <c r="A765" s="2" t="s">
        <v>24</v>
      </c>
      <c r="B765" s="2">
        <v>63618</v>
      </c>
      <c r="C765" s="2" t="s">
        <v>47</v>
      </c>
      <c r="D765" s="2" t="s">
        <v>38</v>
      </c>
      <c r="E765" s="2" t="s">
        <v>57</v>
      </c>
    </row>
    <row r="766" spans="1:5" ht="13" x14ac:dyDescent="0.15">
      <c r="A766" s="2" t="s">
        <v>24</v>
      </c>
      <c r="B766" s="2">
        <v>79792</v>
      </c>
      <c r="C766" s="2" t="s">
        <v>48</v>
      </c>
      <c r="D766" s="2" t="s">
        <v>37</v>
      </c>
      <c r="E766" s="2" t="s">
        <v>57</v>
      </c>
    </row>
    <row r="767" spans="1:5" ht="13" x14ac:dyDescent="0.15">
      <c r="A767" s="2" t="s">
        <v>24</v>
      </c>
      <c r="B767" s="2">
        <v>74206</v>
      </c>
      <c r="C767" s="2" t="s">
        <v>48</v>
      </c>
      <c r="D767" s="2" t="s">
        <v>38</v>
      </c>
      <c r="E767" s="2" t="s">
        <v>57</v>
      </c>
    </row>
    <row r="768" spans="1:5" ht="13" x14ac:dyDescent="0.15">
      <c r="A768" s="2" t="s">
        <v>24</v>
      </c>
      <c r="B768" s="2">
        <v>84529</v>
      </c>
      <c r="C768" s="2" t="s">
        <v>49</v>
      </c>
      <c r="D768" s="2" t="s">
        <v>37</v>
      </c>
      <c r="E768" s="2" t="s">
        <v>57</v>
      </c>
    </row>
    <row r="769" spans="1:5" ht="13" x14ac:dyDescent="0.15">
      <c r="A769" s="2" t="s">
        <v>24</v>
      </c>
      <c r="B769" s="2">
        <v>79789</v>
      </c>
      <c r="C769" s="2" t="s">
        <v>49</v>
      </c>
      <c r="D769" s="2" t="s">
        <v>38</v>
      </c>
      <c r="E769" s="2" t="s">
        <v>57</v>
      </c>
    </row>
    <row r="770" spans="1:5" ht="13" x14ac:dyDescent="0.15">
      <c r="A770" s="2" t="s">
        <v>24</v>
      </c>
      <c r="B770" s="2">
        <v>82234</v>
      </c>
      <c r="C770" s="2" t="s">
        <v>50</v>
      </c>
      <c r="D770" s="2" t="s">
        <v>37</v>
      </c>
      <c r="E770" s="2" t="s">
        <v>57</v>
      </c>
    </row>
    <row r="771" spans="1:5" ht="13" x14ac:dyDescent="0.15">
      <c r="A771" s="2" t="s">
        <v>24</v>
      </c>
      <c r="B771" s="2">
        <v>76365</v>
      </c>
      <c r="C771" s="2" t="s">
        <v>50</v>
      </c>
      <c r="D771" s="2" t="s">
        <v>38</v>
      </c>
      <c r="E771" s="2" t="s">
        <v>57</v>
      </c>
    </row>
    <row r="772" spans="1:5" ht="13" x14ac:dyDescent="0.15">
      <c r="A772" s="2" t="s">
        <v>24</v>
      </c>
      <c r="B772" s="2">
        <v>83092</v>
      </c>
      <c r="C772" s="2" t="s">
        <v>51</v>
      </c>
      <c r="D772" s="2" t="s">
        <v>37</v>
      </c>
      <c r="E772" s="2" t="s">
        <v>57</v>
      </c>
    </row>
    <row r="773" spans="1:5" ht="13" x14ac:dyDescent="0.15">
      <c r="A773" s="2" t="s">
        <v>24</v>
      </c>
      <c r="B773" s="2">
        <v>79190</v>
      </c>
      <c r="C773" s="2" t="s">
        <v>51</v>
      </c>
      <c r="D773" s="2" t="s">
        <v>38</v>
      </c>
      <c r="E773" s="2" t="s">
        <v>57</v>
      </c>
    </row>
    <row r="774" spans="1:5" ht="13" x14ac:dyDescent="0.15">
      <c r="A774" s="2" t="s">
        <v>24</v>
      </c>
      <c r="B774" s="2">
        <v>86392</v>
      </c>
      <c r="C774" s="2" t="s">
        <v>52</v>
      </c>
      <c r="D774" s="2" t="s">
        <v>37</v>
      </c>
      <c r="E774" s="2" t="s">
        <v>57</v>
      </c>
    </row>
    <row r="775" spans="1:5" ht="13" x14ac:dyDescent="0.15">
      <c r="A775" s="2" t="s">
        <v>24</v>
      </c>
      <c r="B775" s="2">
        <v>87422</v>
      </c>
      <c r="C775" s="2" t="s">
        <v>52</v>
      </c>
      <c r="D775" s="2" t="s">
        <v>38</v>
      </c>
      <c r="E775" s="2" t="s">
        <v>57</v>
      </c>
    </row>
    <row r="776" spans="1:5" ht="13" x14ac:dyDescent="0.15">
      <c r="A776" s="2" t="s">
        <v>24</v>
      </c>
      <c r="B776" s="2">
        <v>72075</v>
      </c>
      <c r="C776" s="2" t="s">
        <v>53</v>
      </c>
      <c r="D776" s="2" t="s">
        <v>37</v>
      </c>
      <c r="E776" s="2" t="s">
        <v>57</v>
      </c>
    </row>
    <row r="777" spans="1:5" ht="13" x14ac:dyDescent="0.15">
      <c r="A777" s="2" t="s">
        <v>24</v>
      </c>
      <c r="B777" s="2">
        <v>78917</v>
      </c>
      <c r="C777" s="2" t="s">
        <v>53</v>
      </c>
      <c r="D777" s="2" t="s">
        <v>38</v>
      </c>
      <c r="E777" s="2" t="s">
        <v>57</v>
      </c>
    </row>
    <row r="778" spans="1:5" ht="13" x14ac:dyDescent="0.15">
      <c r="A778" s="2" t="s">
        <v>24</v>
      </c>
      <c r="B778" s="2">
        <v>63297</v>
      </c>
      <c r="C778" s="2" t="s">
        <v>54</v>
      </c>
      <c r="D778" s="2" t="s">
        <v>37</v>
      </c>
      <c r="E778" s="2" t="s">
        <v>57</v>
      </c>
    </row>
    <row r="779" spans="1:5" ht="13" x14ac:dyDescent="0.15">
      <c r="A779" s="2" t="s">
        <v>24</v>
      </c>
      <c r="B779" s="2">
        <v>70527</v>
      </c>
      <c r="C779" s="2" t="s">
        <v>54</v>
      </c>
      <c r="D779" s="2" t="s">
        <v>38</v>
      </c>
      <c r="E779" s="2" t="s">
        <v>57</v>
      </c>
    </row>
    <row r="780" spans="1:5" ht="13" x14ac:dyDescent="0.15">
      <c r="A780" s="2" t="s">
        <v>24</v>
      </c>
      <c r="B780" s="2">
        <v>57981</v>
      </c>
      <c r="C780" s="2" t="s">
        <v>55</v>
      </c>
      <c r="D780" s="2" t="s">
        <v>37</v>
      </c>
      <c r="E780" s="2" t="s">
        <v>57</v>
      </c>
    </row>
    <row r="781" spans="1:5" ht="13" x14ac:dyDescent="0.15">
      <c r="A781" s="2" t="s">
        <v>24</v>
      </c>
      <c r="B781" s="2">
        <v>65142</v>
      </c>
      <c r="C781" s="2" t="s">
        <v>55</v>
      </c>
      <c r="D781" s="2" t="s">
        <v>38</v>
      </c>
      <c r="E781" s="2" t="s">
        <v>57</v>
      </c>
    </row>
    <row r="782" spans="1:5" ht="13" x14ac:dyDescent="0.15">
      <c r="A782" s="2" t="s">
        <v>25</v>
      </c>
      <c r="B782" s="2">
        <v>57153</v>
      </c>
      <c r="C782" s="2" t="s">
        <v>42</v>
      </c>
      <c r="D782" s="2" t="s">
        <v>37</v>
      </c>
      <c r="E782" s="2" t="s">
        <v>43</v>
      </c>
    </row>
    <row r="783" spans="1:5" ht="13" x14ac:dyDescent="0.15">
      <c r="A783" s="2" t="s">
        <v>25</v>
      </c>
      <c r="B783" s="2">
        <v>53692</v>
      </c>
      <c r="C783" s="2" t="s">
        <v>42</v>
      </c>
      <c r="D783" s="2" t="s">
        <v>38</v>
      </c>
      <c r="E783" s="2" t="s">
        <v>43</v>
      </c>
    </row>
    <row r="784" spans="1:5" ht="13" x14ac:dyDescent="0.15">
      <c r="A784" s="2" t="s">
        <v>25</v>
      </c>
      <c r="B784" s="2">
        <v>57263</v>
      </c>
      <c r="C784" s="2" t="s">
        <v>44</v>
      </c>
      <c r="D784" s="2" t="s">
        <v>37</v>
      </c>
      <c r="E784" s="2" t="s">
        <v>43</v>
      </c>
    </row>
    <row r="785" spans="1:5" ht="13" x14ac:dyDescent="0.15">
      <c r="A785" s="2" t="s">
        <v>25</v>
      </c>
      <c r="B785" s="2">
        <v>52423</v>
      </c>
      <c r="C785" s="2" t="s">
        <v>44</v>
      </c>
      <c r="D785" s="2" t="s">
        <v>38</v>
      </c>
      <c r="E785" s="2" t="s">
        <v>43</v>
      </c>
    </row>
    <row r="786" spans="1:5" ht="13" x14ac:dyDescent="0.15">
      <c r="A786" s="2" t="s">
        <v>25</v>
      </c>
      <c r="B786" s="2">
        <v>47753</v>
      </c>
      <c r="C786" s="2" t="s">
        <v>45</v>
      </c>
      <c r="D786" s="2" t="s">
        <v>37</v>
      </c>
      <c r="E786" s="2" t="s">
        <v>43</v>
      </c>
    </row>
    <row r="787" spans="1:5" ht="13" x14ac:dyDescent="0.15">
      <c r="A787" s="2" t="s">
        <v>25</v>
      </c>
      <c r="B787" s="2">
        <v>42976</v>
      </c>
      <c r="C787" s="2" t="s">
        <v>45</v>
      </c>
      <c r="D787" s="2" t="s">
        <v>38</v>
      </c>
      <c r="E787" s="2" t="s">
        <v>43</v>
      </c>
    </row>
    <row r="788" spans="1:5" ht="13" x14ac:dyDescent="0.15">
      <c r="A788" s="2" t="s">
        <v>25</v>
      </c>
      <c r="B788" s="2">
        <v>50635</v>
      </c>
      <c r="C788" s="2" t="s">
        <v>46</v>
      </c>
      <c r="D788" s="2" t="s">
        <v>37</v>
      </c>
      <c r="E788" s="2" t="s">
        <v>43</v>
      </c>
    </row>
    <row r="789" spans="1:5" ht="13" x14ac:dyDescent="0.15">
      <c r="A789" s="2" t="s">
        <v>25</v>
      </c>
      <c r="B789" s="2">
        <v>46825</v>
      </c>
      <c r="C789" s="2" t="s">
        <v>46</v>
      </c>
      <c r="D789" s="2" t="s">
        <v>38</v>
      </c>
      <c r="E789" s="2" t="s">
        <v>43</v>
      </c>
    </row>
    <row r="790" spans="1:5" ht="13" x14ac:dyDescent="0.15">
      <c r="A790" s="2" t="s">
        <v>25</v>
      </c>
      <c r="B790" s="2">
        <v>51651</v>
      </c>
      <c r="C790" s="2" t="s">
        <v>47</v>
      </c>
      <c r="D790" s="2" t="s">
        <v>37</v>
      </c>
      <c r="E790" s="2" t="s">
        <v>43</v>
      </c>
    </row>
    <row r="791" spans="1:5" ht="13" x14ac:dyDescent="0.15">
      <c r="A791" s="2" t="s">
        <v>25</v>
      </c>
      <c r="B791" s="2">
        <v>47548</v>
      </c>
      <c r="C791" s="2" t="s">
        <v>47</v>
      </c>
      <c r="D791" s="2" t="s">
        <v>38</v>
      </c>
      <c r="E791" s="2" t="s">
        <v>43</v>
      </c>
    </row>
    <row r="792" spans="1:5" ht="13" x14ac:dyDescent="0.15">
      <c r="A792" s="2" t="s">
        <v>25</v>
      </c>
      <c r="B792" s="2">
        <v>56149</v>
      </c>
      <c r="C792" s="2" t="s">
        <v>48</v>
      </c>
      <c r="D792" s="2" t="s">
        <v>37</v>
      </c>
      <c r="E792" s="2" t="s">
        <v>43</v>
      </c>
    </row>
    <row r="793" spans="1:5" ht="13" x14ac:dyDescent="0.15">
      <c r="A793" s="2" t="s">
        <v>25</v>
      </c>
      <c r="B793" s="2">
        <v>52209</v>
      </c>
      <c r="C793" s="2" t="s">
        <v>48</v>
      </c>
      <c r="D793" s="2" t="s">
        <v>38</v>
      </c>
      <c r="E793" s="2" t="s">
        <v>43</v>
      </c>
    </row>
    <row r="794" spans="1:5" ht="13" x14ac:dyDescent="0.15">
      <c r="A794" s="2" t="s">
        <v>25</v>
      </c>
      <c r="B794" s="2">
        <v>56889</v>
      </c>
      <c r="C794" s="2" t="s">
        <v>49</v>
      </c>
      <c r="D794" s="2" t="s">
        <v>37</v>
      </c>
      <c r="E794" s="2" t="s">
        <v>43</v>
      </c>
    </row>
    <row r="795" spans="1:5" ht="13" x14ac:dyDescent="0.15">
      <c r="A795" s="2" t="s">
        <v>25</v>
      </c>
      <c r="B795" s="2">
        <v>51714</v>
      </c>
      <c r="C795" s="2" t="s">
        <v>49</v>
      </c>
      <c r="D795" s="2" t="s">
        <v>38</v>
      </c>
      <c r="E795" s="2" t="s">
        <v>43</v>
      </c>
    </row>
    <row r="796" spans="1:5" ht="13" x14ac:dyDescent="0.15">
      <c r="A796" s="2" t="s">
        <v>25</v>
      </c>
      <c r="B796" s="2">
        <v>62093</v>
      </c>
      <c r="C796" s="2" t="s">
        <v>50</v>
      </c>
      <c r="D796" s="2" t="s">
        <v>37</v>
      </c>
      <c r="E796" s="2" t="s">
        <v>43</v>
      </c>
    </row>
    <row r="797" spans="1:5" ht="13" x14ac:dyDescent="0.15">
      <c r="A797" s="2" t="s">
        <v>25</v>
      </c>
      <c r="B797" s="2">
        <v>55369</v>
      </c>
      <c r="C797" s="2" t="s">
        <v>50</v>
      </c>
      <c r="D797" s="2" t="s">
        <v>38</v>
      </c>
      <c r="E797" s="2" t="s">
        <v>43</v>
      </c>
    </row>
    <row r="798" spans="1:5" ht="13" x14ac:dyDescent="0.15">
      <c r="A798" s="2" t="s">
        <v>25</v>
      </c>
      <c r="B798" s="2">
        <v>54810</v>
      </c>
      <c r="C798" s="2" t="s">
        <v>51</v>
      </c>
      <c r="D798" s="2" t="s">
        <v>37</v>
      </c>
      <c r="E798" s="2" t="s">
        <v>43</v>
      </c>
    </row>
    <row r="799" spans="1:5" ht="13" x14ac:dyDescent="0.15">
      <c r="A799" s="2" t="s">
        <v>25</v>
      </c>
      <c r="B799" s="2">
        <v>54040</v>
      </c>
      <c r="C799" s="2" t="s">
        <v>51</v>
      </c>
      <c r="D799" s="2" t="s">
        <v>38</v>
      </c>
      <c r="E799" s="2" t="s">
        <v>43</v>
      </c>
    </row>
    <row r="800" spans="1:5" ht="13" x14ac:dyDescent="0.15">
      <c r="A800" s="2" t="s">
        <v>25</v>
      </c>
      <c r="B800" s="2">
        <v>46545</v>
      </c>
      <c r="C800" s="2" t="s">
        <v>52</v>
      </c>
      <c r="D800" s="2" t="s">
        <v>37</v>
      </c>
      <c r="E800" s="2" t="s">
        <v>43</v>
      </c>
    </row>
    <row r="801" spans="1:5" ht="13" x14ac:dyDescent="0.15">
      <c r="A801" s="2" t="s">
        <v>25</v>
      </c>
      <c r="B801" s="2">
        <v>48647</v>
      </c>
      <c r="C801" s="2" t="s">
        <v>52</v>
      </c>
      <c r="D801" s="2" t="s">
        <v>38</v>
      </c>
      <c r="E801" s="2" t="s">
        <v>43</v>
      </c>
    </row>
    <row r="802" spans="1:5" ht="13" x14ac:dyDescent="0.15">
      <c r="A802" s="2" t="s">
        <v>25</v>
      </c>
      <c r="B802" s="2">
        <v>39746</v>
      </c>
      <c r="C802" s="2" t="s">
        <v>53</v>
      </c>
      <c r="D802" s="2" t="s">
        <v>37</v>
      </c>
      <c r="E802" s="2" t="s">
        <v>43</v>
      </c>
    </row>
    <row r="803" spans="1:5" ht="13" x14ac:dyDescent="0.15">
      <c r="A803" s="2" t="s">
        <v>25</v>
      </c>
      <c r="B803" s="2">
        <v>44271</v>
      </c>
      <c r="C803" s="2" t="s">
        <v>53</v>
      </c>
      <c r="D803" s="2" t="s">
        <v>38</v>
      </c>
      <c r="E803" s="2" t="s">
        <v>43</v>
      </c>
    </row>
    <row r="804" spans="1:5" ht="13" x14ac:dyDescent="0.15">
      <c r="A804" s="2" t="s">
        <v>25</v>
      </c>
      <c r="B804" s="2">
        <v>36054</v>
      </c>
      <c r="C804" s="2" t="s">
        <v>54</v>
      </c>
      <c r="D804" s="2" t="s">
        <v>37</v>
      </c>
      <c r="E804" s="2" t="s">
        <v>43</v>
      </c>
    </row>
    <row r="805" spans="1:5" ht="13" x14ac:dyDescent="0.15">
      <c r="A805" s="2" t="s">
        <v>25</v>
      </c>
      <c r="B805" s="2">
        <v>38956</v>
      </c>
      <c r="C805" s="2" t="s">
        <v>54</v>
      </c>
      <c r="D805" s="2" t="s">
        <v>38</v>
      </c>
      <c r="E805" s="2" t="s">
        <v>43</v>
      </c>
    </row>
    <row r="806" spans="1:5" ht="13" x14ac:dyDescent="0.15">
      <c r="A806" s="2" t="s">
        <v>25</v>
      </c>
      <c r="B806" s="2">
        <v>29639</v>
      </c>
      <c r="C806" s="2" t="s">
        <v>55</v>
      </c>
      <c r="D806" s="2" t="s">
        <v>37</v>
      </c>
      <c r="E806" s="2" t="s">
        <v>43</v>
      </c>
    </row>
    <row r="807" spans="1:5" ht="13" x14ac:dyDescent="0.15">
      <c r="A807" s="2" t="s">
        <v>25</v>
      </c>
      <c r="B807" s="2">
        <v>33891</v>
      </c>
      <c r="C807" s="2" t="s">
        <v>55</v>
      </c>
      <c r="D807" s="2" t="s">
        <v>38</v>
      </c>
      <c r="E807" s="2" t="s">
        <v>43</v>
      </c>
    </row>
    <row r="808" spans="1:5" ht="13" x14ac:dyDescent="0.15">
      <c r="A808" s="2" t="s">
        <v>25</v>
      </c>
      <c r="B808" s="2">
        <v>48459</v>
      </c>
      <c r="C808" s="2" t="s">
        <v>42</v>
      </c>
      <c r="D808" s="2" t="s">
        <v>37</v>
      </c>
      <c r="E808" s="2" t="s">
        <v>56</v>
      </c>
    </row>
    <row r="809" spans="1:5" ht="13" x14ac:dyDescent="0.15">
      <c r="A809" s="2" t="s">
        <v>25</v>
      </c>
      <c r="B809" s="2">
        <v>43518</v>
      </c>
      <c r="C809" s="2" t="s">
        <v>42</v>
      </c>
      <c r="D809" s="2" t="s">
        <v>38</v>
      </c>
      <c r="E809" s="2" t="s">
        <v>56</v>
      </c>
    </row>
    <row r="810" spans="1:5" ht="13" x14ac:dyDescent="0.15">
      <c r="A810" s="2" t="s">
        <v>25</v>
      </c>
      <c r="B810" s="2">
        <v>58681</v>
      </c>
      <c r="C810" s="2" t="s">
        <v>44</v>
      </c>
      <c r="D810" s="2" t="s">
        <v>37</v>
      </c>
      <c r="E810" s="2" t="s">
        <v>56</v>
      </c>
    </row>
    <row r="811" spans="1:5" ht="13" x14ac:dyDescent="0.15">
      <c r="A811" s="2" t="s">
        <v>25</v>
      </c>
      <c r="B811" s="2">
        <v>54213</v>
      </c>
      <c r="C811" s="2" t="s">
        <v>44</v>
      </c>
      <c r="D811" s="2" t="s">
        <v>38</v>
      </c>
      <c r="E811" s="2" t="s">
        <v>56</v>
      </c>
    </row>
    <row r="812" spans="1:5" ht="13" x14ac:dyDescent="0.15">
      <c r="A812" s="2" t="s">
        <v>25</v>
      </c>
      <c r="B812" s="2">
        <v>55601</v>
      </c>
      <c r="C812" s="2" t="s">
        <v>45</v>
      </c>
      <c r="D812" s="2" t="s">
        <v>37</v>
      </c>
      <c r="E812" s="2" t="s">
        <v>56</v>
      </c>
    </row>
    <row r="813" spans="1:5" ht="13" x14ac:dyDescent="0.15">
      <c r="A813" s="2" t="s">
        <v>25</v>
      </c>
      <c r="B813" s="2">
        <v>51556</v>
      </c>
      <c r="C813" s="2" t="s">
        <v>45</v>
      </c>
      <c r="D813" s="2" t="s">
        <v>38</v>
      </c>
      <c r="E813" s="2" t="s">
        <v>56</v>
      </c>
    </row>
    <row r="814" spans="1:5" ht="13" x14ac:dyDescent="0.15">
      <c r="A814" s="2" t="s">
        <v>25</v>
      </c>
      <c r="B814" s="2">
        <v>47401</v>
      </c>
      <c r="C814" s="2" t="s">
        <v>46</v>
      </c>
      <c r="D814" s="2" t="s">
        <v>37</v>
      </c>
      <c r="E814" s="2" t="s">
        <v>56</v>
      </c>
    </row>
    <row r="815" spans="1:5" ht="13" x14ac:dyDescent="0.15">
      <c r="A815" s="2" t="s">
        <v>25</v>
      </c>
      <c r="B815" s="2">
        <v>42562</v>
      </c>
      <c r="C815" s="2" t="s">
        <v>46</v>
      </c>
      <c r="D815" s="2" t="s">
        <v>38</v>
      </c>
      <c r="E815" s="2" t="s">
        <v>56</v>
      </c>
    </row>
    <row r="816" spans="1:5" ht="13" x14ac:dyDescent="0.15">
      <c r="A816" s="2" t="s">
        <v>25</v>
      </c>
      <c r="B816" s="2">
        <v>50124</v>
      </c>
      <c r="C816" s="2" t="s">
        <v>47</v>
      </c>
      <c r="D816" s="2" t="s">
        <v>37</v>
      </c>
      <c r="E816" s="2" t="s">
        <v>56</v>
      </c>
    </row>
    <row r="817" spans="1:5" ht="13" x14ac:dyDescent="0.15">
      <c r="A817" s="2" t="s">
        <v>25</v>
      </c>
      <c r="B817" s="2">
        <v>46504</v>
      </c>
      <c r="C817" s="2" t="s">
        <v>47</v>
      </c>
      <c r="D817" s="2" t="s">
        <v>38</v>
      </c>
      <c r="E817" s="2" t="s">
        <v>56</v>
      </c>
    </row>
    <row r="818" spans="1:5" ht="13" x14ac:dyDescent="0.15">
      <c r="A818" s="2" t="s">
        <v>25</v>
      </c>
      <c r="B818" s="2">
        <v>50990</v>
      </c>
      <c r="C818" s="2" t="s">
        <v>48</v>
      </c>
      <c r="D818" s="2" t="s">
        <v>37</v>
      </c>
      <c r="E818" s="2" t="s">
        <v>56</v>
      </c>
    </row>
    <row r="819" spans="1:5" ht="13" x14ac:dyDescent="0.15">
      <c r="A819" s="2" t="s">
        <v>25</v>
      </c>
      <c r="B819" s="2">
        <v>47206</v>
      </c>
      <c r="C819" s="2" t="s">
        <v>48</v>
      </c>
      <c r="D819" s="2" t="s">
        <v>38</v>
      </c>
      <c r="E819" s="2" t="s">
        <v>56</v>
      </c>
    </row>
    <row r="820" spans="1:5" ht="13" x14ac:dyDescent="0.15">
      <c r="A820" s="2" t="s">
        <v>25</v>
      </c>
      <c r="B820" s="2">
        <v>54820</v>
      </c>
      <c r="C820" s="2" t="s">
        <v>49</v>
      </c>
      <c r="D820" s="2" t="s">
        <v>37</v>
      </c>
      <c r="E820" s="2" t="s">
        <v>56</v>
      </c>
    </row>
    <row r="821" spans="1:5" ht="13" x14ac:dyDescent="0.15">
      <c r="A821" s="2" t="s">
        <v>25</v>
      </c>
      <c r="B821" s="2">
        <v>51619</v>
      </c>
      <c r="C821" s="2" t="s">
        <v>49</v>
      </c>
      <c r="D821" s="2" t="s">
        <v>38</v>
      </c>
      <c r="E821" s="2" t="s">
        <v>56</v>
      </c>
    </row>
    <row r="822" spans="1:5" ht="13" x14ac:dyDescent="0.15">
      <c r="A822" s="2" t="s">
        <v>25</v>
      </c>
      <c r="B822" s="2">
        <v>57447</v>
      </c>
      <c r="C822" s="2" t="s">
        <v>50</v>
      </c>
      <c r="D822" s="2" t="s">
        <v>37</v>
      </c>
      <c r="E822" s="2" t="s">
        <v>56</v>
      </c>
    </row>
    <row r="823" spans="1:5" ht="13" x14ac:dyDescent="0.15">
      <c r="A823" s="2" t="s">
        <v>25</v>
      </c>
      <c r="B823" s="2">
        <v>50604</v>
      </c>
      <c r="C823" s="2" t="s">
        <v>50</v>
      </c>
      <c r="D823" s="2" t="s">
        <v>38</v>
      </c>
      <c r="E823" s="2" t="s">
        <v>56</v>
      </c>
    </row>
    <row r="824" spans="1:5" ht="13" x14ac:dyDescent="0.15">
      <c r="A824" s="2" t="s">
        <v>25</v>
      </c>
      <c r="B824" s="2">
        <v>56503</v>
      </c>
      <c r="C824" s="2" t="s">
        <v>51</v>
      </c>
      <c r="D824" s="2" t="s">
        <v>37</v>
      </c>
      <c r="E824" s="2" t="s">
        <v>56</v>
      </c>
    </row>
    <row r="825" spans="1:5" ht="13" x14ac:dyDescent="0.15">
      <c r="A825" s="2" t="s">
        <v>25</v>
      </c>
      <c r="B825" s="2">
        <v>53340</v>
      </c>
      <c r="C825" s="2" t="s">
        <v>51</v>
      </c>
      <c r="D825" s="2" t="s">
        <v>38</v>
      </c>
      <c r="E825" s="2" t="s">
        <v>56</v>
      </c>
    </row>
    <row r="826" spans="1:5" ht="13" x14ac:dyDescent="0.15">
      <c r="A826" s="2" t="s">
        <v>25</v>
      </c>
      <c r="B826" s="2">
        <v>49842</v>
      </c>
      <c r="C826" s="2" t="s">
        <v>52</v>
      </c>
      <c r="D826" s="2" t="s">
        <v>37</v>
      </c>
      <c r="E826" s="2" t="s">
        <v>56</v>
      </c>
    </row>
    <row r="827" spans="1:5" ht="13" x14ac:dyDescent="0.15">
      <c r="A827" s="2" t="s">
        <v>25</v>
      </c>
      <c r="B827" s="2">
        <v>51662</v>
      </c>
      <c r="C827" s="2" t="s">
        <v>52</v>
      </c>
      <c r="D827" s="2" t="s">
        <v>38</v>
      </c>
      <c r="E827" s="2" t="s">
        <v>56</v>
      </c>
    </row>
    <row r="828" spans="1:5" ht="13" x14ac:dyDescent="0.15">
      <c r="A828" s="2" t="s">
        <v>25</v>
      </c>
      <c r="B828" s="2">
        <v>41644</v>
      </c>
      <c r="C828" s="2" t="s">
        <v>53</v>
      </c>
      <c r="D828" s="2" t="s">
        <v>37</v>
      </c>
      <c r="E828" s="2" t="s">
        <v>56</v>
      </c>
    </row>
    <row r="829" spans="1:5" ht="13" x14ac:dyDescent="0.15">
      <c r="A829" s="2" t="s">
        <v>25</v>
      </c>
      <c r="B829" s="2">
        <v>46034</v>
      </c>
      <c r="C829" s="2" t="s">
        <v>53</v>
      </c>
      <c r="D829" s="2" t="s">
        <v>38</v>
      </c>
      <c r="E829" s="2" t="s">
        <v>56</v>
      </c>
    </row>
    <row r="830" spans="1:5" ht="13" x14ac:dyDescent="0.15">
      <c r="A830" s="2" t="s">
        <v>25</v>
      </c>
      <c r="B830" s="2">
        <v>38106</v>
      </c>
      <c r="C830" s="2" t="s">
        <v>54</v>
      </c>
      <c r="D830" s="2" t="s">
        <v>37</v>
      </c>
      <c r="E830" s="2" t="s">
        <v>56</v>
      </c>
    </row>
    <row r="831" spans="1:5" ht="13" x14ac:dyDescent="0.15">
      <c r="A831" s="2" t="s">
        <v>25</v>
      </c>
      <c r="B831" s="2">
        <v>41538</v>
      </c>
      <c r="C831" s="2" t="s">
        <v>54</v>
      </c>
      <c r="D831" s="2" t="s">
        <v>38</v>
      </c>
      <c r="E831" s="2" t="s">
        <v>56</v>
      </c>
    </row>
    <row r="832" spans="1:5" ht="13" x14ac:dyDescent="0.15">
      <c r="A832" s="2" t="s">
        <v>25</v>
      </c>
      <c r="B832" s="2">
        <v>33052</v>
      </c>
      <c r="C832" s="2" t="s">
        <v>55</v>
      </c>
      <c r="D832" s="2" t="s">
        <v>37</v>
      </c>
      <c r="E832" s="2" t="s">
        <v>56</v>
      </c>
    </row>
    <row r="833" spans="1:5" ht="13" x14ac:dyDescent="0.15">
      <c r="A833" s="2" t="s">
        <v>25</v>
      </c>
      <c r="B833" s="2">
        <v>36647</v>
      </c>
      <c r="C833" s="2" t="s">
        <v>55</v>
      </c>
      <c r="D833" s="2" t="s">
        <v>38</v>
      </c>
      <c r="E833" s="2" t="s">
        <v>56</v>
      </c>
    </row>
    <row r="834" spans="1:5" ht="13" x14ac:dyDescent="0.15">
      <c r="A834" s="2" t="s">
        <v>25</v>
      </c>
      <c r="B834" s="2">
        <v>53778</v>
      </c>
      <c r="C834" s="2" t="s">
        <v>42</v>
      </c>
      <c r="D834" s="2" t="s">
        <v>37</v>
      </c>
      <c r="E834" s="2" t="s">
        <v>57</v>
      </c>
    </row>
    <row r="835" spans="1:5" ht="13" x14ac:dyDescent="0.15">
      <c r="A835" s="2" t="s">
        <v>25</v>
      </c>
      <c r="B835" s="2">
        <v>49080</v>
      </c>
      <c r="C835" s="2" t="s">
        <v>42</v>
      </c>
      <c r="D835" s="2" t="s">
        <v>38</v>
      </c>
      <c r="E835" s="2" t="s">
        <v>57</v>
      </c>
    </row>
    <row r="836" spans="1:5" ht="13" x14ac:dyDescent="0.15">
      <c r="A836" s="2" t="s">
        <v>25</v>
      </c>
      <c r="B836" s="2">
        <v>51131</v>
      </c>
      <c r="C836" s="2" t="s">
        <v>44</v>
      </c>
      <c r="D836" s="2" t="s">
        <v>37</v>
      </c>
      <c r="E836" s="2" t="s">
        <v>57</v>
      </c>
    </row>
    <row r="837" spans="1:5" ht="13" x14ac:dyDescent="0.15">
      <c r="A837" s="2" t="s">
        <v>25</v>
      </c>
      <c r="B837" s="2">
        <v>44618</v>
      </c>
      <c r="C837" s="2" t="s">
        <v>44</v>
      </c>
      <c r="D837" s="2" t="s">
        <v>38</v>
      </c>
      <c r="E837" s="2" t="s">
        <v>57</v>
      </c>
    </row>
    <row r="838" spans="1:5" ht="13" x14ac:dyDescent="0.15">
      <c r="A838" s="2" t="s">
        <v>25</v>
      </c>
      <c r="B838" s="2">
        <v>56579</v>
      </c>
      <c r="C838" s="2" t="s">
        <v>45</v>
      </c>
      <c r="D838" s="2" t="s">
        <v>37</v>
      </c>
      <c r="E838" s="2" t="s">
        <v>57</v>
      </c>
    </row>
    <row r="839" spans="1:5" ht="13" x14ac:dyDescent="0.15">
      <c r="A839" s="2" t="s">
        <v>25</v>
      </c>
      <c r="B839" s="2">
        <v>53001</v>
      </c>
      <c r="C839" s="2" t="s">
        <v>45</v>
      </c>
      <c r="D839" s="2" t="s">
        <v>38</v>
      </c>
      <c r="E839" s="2" t="s">
        <v>57</v>
      </c>
    </row>
    <row r="840" spans="1:5" ht="13" x14ac:dyDescent="0.15">
      <c r="A840" s="2" t="s">
        <v>25</v>
      </c>
      <c r="B840" s="2">
        <v>54843</v>
      </c>
      <c r="C840" s="2" t="s">
        <v>46</v>
      </c>
      <c r="D840" s="2" t="s">
        <v>37</v>
      </c>
      <c r="E840" s="2" t="s">
        <v>57</v>
      </c>
    </row>
    <row r="841" spans="1:5" ht="13" x14ac:dyDescent="0.15">
      <c r="A841" s="2" t="s">
        <v>25</v>
      </c>
      <c r="B841" s="2">
        <v>50948</v>
      </c>
      <c r="C841" s="2" t="s">
        <v>46</v>
      </c>
      <c r="D841" s="2" t="s">
        <v>38</v>
      </c>
      <c r="E841" s="2" t="s">
        <v>57</v>
      </c>
    </row>
    <row r="842" spans="1:5" ht="13" x14ac:dyDescent="0.15">
      <c r="A842" s="2" t="s">
        <v>25</v>
      </c>
      <c r="B842" s="2">
        <v>46744</v>
      </c>
      <c r="C842" s="2" t="s">
        <v>47</v>
      </c>
      <c r="D842" s="2" t="s">
        <v>37</v>
      </c>
      <c r="E842" s="2" t="s">
        <v>57</v>
      </c>
    </row>
    <row r="843" spans="1:5" ht="13" x14ac:dyDescent="0.15">
      <c r="A843" s="2" t="s">
        <v>25</v>
      </c>
      <c r="B843" s="2">
        <v>42175</v>
      </c>
      <c r="C843" s="2" t="s">
        <v>47</v>
      </c>
      <c r="D843" s="2" t="s">
        <v>38</v>
      </c>
      <c r="E843" s="2" t="s">
        <v>57</v>
      </c>
    </row>
    <row r="844" spans="1:5" ht="13" x14ac:dyDescent="0.15">
      <c r="A844" s="2" t="s">
        <v>25</v>
      </c>
      <c r="B844" s="2">
        <v>49531</v>
      </c>
      <c r="C844" s="2" t="s">
        <v>48</v>
      </c>
      <c r="D844" s="2" t="s">
        <v>37</v>
      </c>
      <c r="E844" s="2" t="s">
        <v>57</v>
      </c>
    </row>
    <row r="845" spans="1:5" ht="13" x14ac:dyDescent="0.15">
      <c r="A845" s="2" t="s">
        <v>25</v>
      </c>
      <c r="B845" s="2">
        <v>46291</v>
      </c>
      <c r="C845" s="2" t="s">
        <v>48</v>
      </c>
      <c r="D845" s="2" t="s">
        <v>38</v>
      </c>
      <c r="E845" s="2" t="s">
        <v>57</v>
      </c>
    </row>
    <row r="846" spans="1:5" ht="13" x14ac:dyDescent="0.15">
      <c r="A846" s="2" t="s">
        <v>25</v>
      </c>
      <c r="B846" s="2">
        <v>50119</v>
      </c>
      <c r="C846" s="2" t="s">
        <v>49</v>
      </c>
      <c r="D846" s="2" t="s">
        <v>37</v>
      </c>
      <c r="E846" s="2" t="s">
        <v>57</v>
      </c>
    </row>
    <row r="847" spans="1:5" ht="13" x14ac:dyDescent="0.15">
      <c r="A847" s="2" t="s">
        <v>25</v>
      </c>
      <c r="B847" s="2">
        <v>46942</v>
      </c>
      <c r="C847" s="2" t="s">
        <v>49</v>
      </c>
      <c r="D847" s="2" t="s">
        <v>38</v>
      </c>
      <c r="E847" s="2" t="s">
        <v>57</v>
      </c>
    </row>
    <row r="848" spans="1:5" ht="13" x14ac:dyDescent="0.15">
      <c r="A848" s="2" t="s">
        <v>25</v>
      </c>
      <c r="B848" s="2">
        <v>54680</v>
      </c>
      <c r="C848" s="2" t="s">
        <v>50</v>
      </c>
      <c r="D848" s="2" t="s">
        <v>37</v>
      </c>
      <c r="E848" s="2" t="s">
        <v>57</v>
      </c>
    </row>
    <row r="849" spans="1:5" ht="13" x14ac:dyDescent="0.15">
      <c r="A849" s="2" t="s">
        <v>25</v>
      </c>
      <c r="B849" s="2">
        <v>49817</v>
      </c>
      <c r="C849" s="2" t="s">
        <v>50</v>
      </c>
      <c r="D849" s="2" t="s">
        <v>38</v>
      </c>
      <c r="E849" s="2" t="s">
        <v>57</v>
      </c>
    </row>
    <row r="850" spans="1:5" ht="13" x14ac:dyDescent="0.15">
      <c r="A850" s="2" t="s">
        <v>25</v>
      </c>
      <c r="B850" s="2">
        <v>54429</v>
      </c>
      <c r="C850" s="2" t="s">
        <v>51</v>
      </c>
      <c r="D850" s="2" t="s">
        <v>37</v>
      </c>
      <c r="E850" s="2" t="s">
        <v>57</v>
      </c>
    </row>
    <row r="851" spans="1:5" ht="13" x14ac:dyDescent="0.15">
      <c r="A851" s="2" t="s">
        <v>25</v>
      </c>
      <c r="B851" s="2">
        <v>49692</v>
      </c>
      <c r="C851" s="2" t="s">
        <v>51</v>
      </c>
      <c r="D851" s="2" t="s">
        <v>38</v>
      </c>
      <c r="E851" s="2" t="s">
        <v>57</v>
      </c>
    </row>
    <row r="852" spans="1:5" ht="13" x14ac:dyDescent="0.15">
      <c r="A852" s="2" t="s">
        <v>25</v>
      </c>
      <c r="B852" s="2">
        <v>52934</v>
      </c>
      <c r="C852" s="2" t="s">
        <v>52</v>
      </c>
      <c r="D852" s="2" t="s">
        <v>37</v>
      </c>
      <c r="E852" s="2" t="s">
        <v>57</v>
      </c>
    </row>
    <row r="853" spans="1:5" ht="13" x14ac:dyDescent="0.15">
      <c r="A853" s="2" t="s">
        <v>25</v>
      </c>
      <c r="B853" s="2">
        <v>52293</v>
      </c>
      <c r="C853" s="2" t="s">
        <v>52</v>
      </c>
      <c r="D853" s="2" t="s">
        <v>38</v>
      </c>
      <c r="E853" s="2" t="s">
        <v>57</v>
      </c>
    </row>
    <row r="854" spans="1:5" ht="13" x14ac:dyDescent="0.15">
      <c r="A854" s="2" t="s">
        <v>25</v>
      </c>
      <c r="B854" s="2">
        <v>46278</v>
      </c>
      <c r="C854" s="2" t="s">
        <v>53</v>
      </c>
      <c r="D854" s="2" t="s">
        <v>37</v>
      </c>
      <c r="E854" s="2" t="s">
        <v>57</v>
      </c>
    </row>
    <row r="855" spans="1:5" ht="13" x14ac:dyDescent="0.15">
      <c r="A855" s="2" t="s">
        <v>25</v>
      </c>
      <c r="B855" s="2">
        <v>50328</v>
      </c>
      <c r="C855" s="2" t="s">
        <v>53</v>
      </c>
      <c r="D855" s="2" t="s">
        <v>38</v>
      </c>
      <c r="E855" s="2" t="s">
        <v>57</v>
      </c>
    </row>
    <row r="856" spans="1:5" ht="13" x14ac:dyDescent="0.15">
      <c r="A856" s="2" t="s">
        <v>25</v>
      </c>
      <c r="B856" s="2">
        <v>39677</v>
      </c>
      <c r="C856" s="2" t="s">
        <v>54</v>
      </c>
      <c r="D856" s="2" t="s">
        <v>37</v>
      </c>
      <c r="E856" s="2" t="s">
        <v>57</v>
      </c>
    </row>
    <row r="857" spans="1:5" ht="13" x14ac:dyDescent="0.15">
      <c r="A857" s="2" t="s">
        <v>25</v>
      </c>
      <c r="B857" s="2">
        <v>45131</v>
      </c>
      <c r="C857" s="2" t="s">
        <v>54</v>
      </c>
      <c r="D857" s="2" t="s">
        <v>38</v>
      </c>
      <c r="E857" s="2" t="s">
        <v>57</v>
      </c>
    </row>
    <row r="858" spans="1:5" ht="13" x14ac:dyDescent="0.15">
      <c r="A858" s="2" t="s">
        <v>25</v>
      </c>
      <c r="B858" s="2">
        <v>35106</v>
      </c>
      <c r="C858" s="2" t="s">
        <v>55</v>
      </c>
      <c r="D858" s="2" t="s">
        <v>37</v>
      </c>
      <c r="E858" s="2" t="s">
        <v>57</v>
      </c>
    </row>
    <row r="859" spans="1:5" ht="13" x14ac:dyDescent="0.15">
      <c r="A859" s="2" t="s">
        <v>25</v>
      </c>
      <c r="B859" s="2">
        <v>39706</v>
      </c>
      <c r="C859" s="2" t="s">
        <v>55</v>
      </c>
      <c r="D859" s="2" t="s">
        <v>38</v>
      </c>
      <c r="E859" s="2" t="s">
        <v>57</v>
      </c>
    </row>
    <row r="860" spans="1:5" ht="13" x14ac:dyDescent="0.15">
      <c r="A860" s="2" t="s">
        <v>20</v>
      </c>
      <c r="B860" s="2">
        <v>48422</v>
      </c>
      <c r="C860" s="2" t="s">
        <v>42</v>
      </c>
      <c r="D860" s="2" t="s">
        <v>37</v>
      </c>
      <c r="E860" s="2" t="s">
        <v>43</v>
      </c>
    </row>
    <row r="861" spans="1:5" ht="13" x14ac:dyDescent="0.15">
      <c r="A861" s="2" t="s">
        <v>20</v>
      </c>
      <c r="B861" s="2">
        <v>44826</v>
      </c>
      <c r="C861" s="2" t="s">
        <v>42</v>
      </c>
      <c r="D861" s="2" t="s">
        <v>38</v>
      </c>
      <c r="E861" s="2" t="s">
        <v>43</v>
      </c>
    </row>
    <row r="862" spans="1:5" ht="13" x14ac:dyDescent="0.15">
      <c r="A862" s="2" t="s">
        <v>20</v>
      </c>
      <c r="B862" s="2">
        <v>48465</v>
      </c>
      <c r="C862" s="2" t="s">
        <v>44</v>
      </c>
      <c r="D862" s="2" t="s">
        <v>37</v>
      </c>
      <c r="E862" s="2" t="s">
        <v>43</v>
      </c>
    </row>
    <row r="863" spans="1:5" ht="13" x14ac:dyDescent="0.15">
      <c r="A863" s="2" t="s">
        <v>20</v>
      </c>
      <c r="B863" s="2">
        <v>44705</v>
      </c>
      <c r="C863" s="2" t="s">
        <v>44</v>
      </c>
      <c r="D863" s="2" t="s">
        <v>38</v>
      </c>
      <c r="E863" s="2" t="s">
        <v>43</v>
      </c>
    </row>
    <row r="864" spans="1:5" ht="13" x14ac:dyDescent="0.15">
      <c r="A864" s="2" t="s">
        <v>20</v>
      </c>
      <c r="B864" s="2">
        <v>40741</v>
      </c>
      <c r="C864" s="2" t="s">
        <v>45</v>
      </c>
      <c r="D864" s="2" t="s">
        <v>37</v>
      </c>
      <c r="E864" s="2" t="s">
        <v>43</v>
      </c>
    </row>
    <row r="865" spans="1:5" ht="13" x14ac:dyDescent="0.15">
      <c r="A865" s="2" t="s">
        <v>20</v>
      </c>
      <c r="B865" s="2">
        <v>37380</v>
      </c>
      <c r="C865" s="2" t="s">
        <v>45</v>
      </c>
      <c r="D865" s="2" t="s">
        <v>38</v>
      </c>
      <c r="E865" s="2" t="s">
        <v>43</v>
      </c>
    </row>
    <row r="866" spans="1:5" ht="13" x14ac:dyDescent="0.15">
      <c r="A866" s="2" t="s">
        <v>20</v>
      </c>
      <c r="B866" s="2">
        <v>41418</v>
      </c>
      <c r="C866" s="2" t="s">
        <v>46</v>
      </c>
      <c r="D866" s="2" t="s">
        <v>37</v>
      </c>
      <c r="E866" s="2" t="s">
        <v>43</v>
      </c>
    </row>
    <row r="867" spans="1:5" ht="13" x14ac:dyDescent="0.15">
      <c r="A867" s="2" t="s">
        <v>20</v>
      </c>
      <c r="B867" s="2">
        <v>38859</v>
      </c>
      <c r="C867" s="2" t="s">
        <v>46</v>
      </c>
      <c r="D867" s="2" t="s">
        <v>38</v>
      </c>
      <c r="E867" s="2" t="s">
        <v>43</v>
      </c>
    </row>
    <row r="868" spans="1:5" ht="13" x14ac:dyDescent="0.15">
      <c r="A868" s="2" t="s">
        <v>20</v>
      </c>
      <c r="B868" s="2">
        <v>44165</v>
      </c>
      <c r="C868" s="2" t="s">
        <v>47</v>
      </c>
      <c r="D868" s="2" t="s">
        <v>37</v>
      </c>
      <c r="E868" s="2" t="s">
        <v>43</v>
      </c>
    </row>
    <row r="869" spans="1:5" ht="13" x14ac:dyDescent="0.15">
      <c r="A869" s="2" t="s">
        <v>20</v>
      </c>
      <c r="B869" s="2">
        <v>41009</v>
      </c>
      <c r="C869" s="2" t="s">
        <v>47</v>
      </c>
      <c r="D869" s="2" t="s">
        <v>38</v>
      </c>
      <c r="E869" s="2" t="s">
        <v>43</v>
      </c>
    </row>
    <row r="870" spans="1:5" ht="13" x14ac:dyDescent="0.15">
      <c r="A870" s="2" t="s">
        <v>20</v>
      </c>
      <c r="B870" s="2">
        <v>47225</v>
      </c>
      <c r="C870" s="2" t="s">
        <v>48</v>
      </c>
      <c r="D870" s="2" t="s">
        <v>37</v>
      </c>
      <c r="E870" s="2" t="s">
        <v>43</v>
      </c>
    </row>
    <row r="871" spans="1:5" ht="13" x14ac:dyDescent="0.15">
      <c r="A871" s="2" t="s">
        <v>20</v>
      </c>
      <c r="B871" s="2">
        <v>44042</v>
      </c>
      <c r="C871" s="2" t="s">
        <v>48</v>
      </c>
      <c r="D871" s="2" t="s">
        <v>38</v>
      </c>
      <c r="E871" s="2" t="s">
        <v>43</v>
      </c>
    </row>
    <row r="872" spans="1:5" ht="13" x14ac:dyDescent="0.15">
      <c r="A872" s="2" t="s">
        <v>20</v>
      </c>
      <c r="B872" s="2">
        <v>47115</v>
      </c>
      <c r="C872" s="2" t="s">
        <v>49</v>
      </c>
      <c r="D872" s="2" t="s">
        <v>37</v>
      </c>
      <c r="E872" s="2" t="s">
        <v>43</v>
      </c>
    </row>
    <row r="873" spans="1:5" ht="13" x14ac:dyDescent="0.15">
      <c r="A873" s="2" t="s">
        <v>20</v>
      </c>
      <c r="B873" s="2">
        <v>44415</v>
      </c>
      <c r="C873" s="2" t="s">
        <v>49</v>
      </c>
      <c r="D873" s="2" t="s">
        <v>38</v>
      </c>
      <c r="E873" s="2" t="s">
        <v>43</v>
      </c>
    </row>
    <row r="874" spans="1:5" ht="13" x14ac:dyDescent="0.15">
      <c r="A874" s="2" t="s">
        <v>20</v>
      </c>
      <c r="B874" s="2">
        <v>54200</v>
      </c>
      <c r="C874" s="2" t="s">
        <v>50</v>
      </c>
      <c r="D874" s="2" t="s">
        <v>37</v>
      </c>
      <c r="E874" s="2" t="s">
        <v>43</v>
      </c>
    </row>
    <row r="875" spans="1:5" ht="13" x14ac:dyDescent="0.15">
      <c r="A875" s="2" t="s">
        <v>20</v>
      </c>
      <c r="B875" s="2">
        <v>49660</v>
      </c>
      <c r="C875" s="2" t="s">
        <v>50</v>
      </c>
      <c r="D875" s="2" t="s">
        <v>38</v>
      </c>
      <c r="E875" s="2" t="s">
        <v>43</v>
      </c>
    </row>
    <row r="876" spans="1:5" ht="13" x14ac:dyDescent="0.15">
      <c r="A876" s="2" t="s">
        <v>20</v>
      </c>
      <c r="B876" s="2">
        <v>42163</v>
      </c>
      <c r="C876" s="2" t="s">
        <v>51</v>
      </c>
      <c r="D876" s="2" t="s">
        <v>37</v>
      </c>
      <c r="E876" s="2" t="s">
        <v>43</v>
      </c>
    </row>
    <row r="877" spans="1:5" ht="13" x14ac:dyDescent="0.15">
      <c r="A877" s="2" t="s">
        <v>20</v>
      </c>
      <c r="B877" s="2">
        <v>43338</v>
      </c>
      <c r="C877" s="2" t="s">
        <v>51</v>
      </c>
      <c r="D877" s="2" t="s">
        <v>38</v>
      </c>
      <c r="E877" s="2" t="s">
        <v>43</v>
      </c>
    </row>
    <row r="878" spans="1:5" ht="13" x14ac:dyDescent="0.15">
      <c r="A878" s="2" t="s">
        <v>20</v>
      </c>
      <c r="B878" s="2">
        <v>33630</v>
      </c>
      <c r="C878" s="2" t="s">
        <v>52</v>
      </c>
      <c r="D878" s="2" t="s">
        <v>37</v>
      </c>
      <c r="E878" s="2" t="s">
        <v>43</v>
      </c>
    </row>
    <row r="879" spans="1:5" ht="13" x14ac:dyDescent="0.15">
      <c r="A879" s="2" t="s">
        <v>20</v>
      </c>
      <c r="B879" s="2">
        <v>36994</v>
      </c>
      <c r="C879" s="2" t="s">
        <v>52</v>
      </c>
      <c r="D879" s="2" t="s">
        <v>38</v>
      </c>
      <c r="E879" s="2" t="s">
        <v>43</v>
      </c>
    </row>
    <row r="880" spans="1:5" ht="13" x14ac:dyDescent="0.15">
      <c r="A880" s="2" t="s">
        <v>20</v>
      </c>
      <c r="B880" s="2">
        <v>27623</v>
      </c>
      <c r="C880" s="2" t="s">
        <v>53</v>
      </c>
      <c r="D880" s="2" t="s">
        <v>37</v>
      </c>
      <c r="E880" s="2" t="s">
        <v>43</v>
      </c>
    </row>
    <row r="881" spans="1:5" ht="13" x14ac:dyDescent="0.15">
      <c r="A881" s="2" t="s">
        <v>20</v>
      </c>
      <c r="B881" s="2">
        <v>32094</v>
      </c>
      <c r="C881" s="2" t="s">
        <v>53</v>
      </c>
      <c r="D881" s="2" t="s">
        <v>38</v>
      </c>
      <c r="E881" s="2" t="s">
        <v>43</v>
      </c>
    </row>
    <row r="882" spans="1:5" ht="13" x14ac:dyDescent="0.15">
      <c r="A882" s="2" t="s">
        <v>20</v>
      </c>
      <c r="B882" s="2">
        <v>25161</v>
      </c>
      <c r="C882" s="2" t="s">
        <v>54</v>
      </c>
      <c r="D882" s="2" t="s">
        <v>37</v>
      </c>
      <c r="E882" s="2" t="s">
        <v>43</v>
      </c>
    </row>
    <row r="883" spans="1:5" ht="13" x14ac:dyDescent="0.15">
      <c r="A883" s="2" t="s">
        <v>20</v>
      </c>
      <c r="B883" s="2">
        <v>28757</v>
      </c>
      <c r="C883" s="2" t="s">
        <v>54</v>
      </c>
      <c r="D883" s="2" t="s">
        <v>38</v>
      </c>
      <c r="E883" s="2" t="s">
        <v>43</v>
      </c>
    </row>
    <row r="884" spans="1:5" ht="13" x14ac:dyDescent="0.15">
      <c r="A884" s="2" t="s">
        <v>20</v>
      </c>
      <c r="B884" s="2">
        <v>19473</v>
      </c>
      <c r="C884" s="2" t="s">
        <v>55</v>
      </c>
      <c r="D884" s="2" t="s">
        <v>37</v>
      </c>
      <c r="E884" s="2" t="s">
        <v>43</v>
      </c>
    </row>
    <row r="885" spans="1:5" ht="13" x14ac:dyDescent="0.15">
      <c r="A885" s="2" t="s">
        <v>20</v>
      </c>
      <c r="B885" s="2">
        <v>23825</v>
      </c>
      <c r="C885" s="2" t="s">
        <v>55</v>
      </c>
      <c r="D885" s="2" t="s">
        <v>38</v>
      </c>
      <c r="E885" s="2" t="s">
        <v>43</v>
      </c>
    </row>
    <row r="886" spans="1:5" ht="13" x14ac:dyDescent="0.15">
      <c r="A886" s="2" t="s">
        <v>20</v>
      </c>
      <c r="B886" s="2">
        <v>44657</v>
      </c>
      <c r="C886" s="2" t="s">
        <v>42</v>
      </c>
      <c r="D886" s="2" t="s">
        <v>37</v>
      </c>
      <c r="E886" s="2" t="s">
        <v>56</v>
      </c>
    </row>
    <row r="887" spans="1:5" ht="13" x14ac:dyDescent="0.15">
      <c r="A887" s="2" t="s">
        <v>20</v>
      </c>
      <c r="B887" s="2">
        <v>40405</v>
      </c>
      <c r="C887" s="2" t="s">
        <v>42</v>
      </c>
      <c r="D887" s="2" t="s">
        <v>38</v>
      </c>
      <c r="E887" s="2" t="s">
        <v>56</v>
      </c>
    </row>
    <row r="888" spans="1:5" ht="13" x14ac:dyDescent="0.15">
      <c r="A888" s="2" t="s">
        <v>20</v>
      </c>
      <c r="B888" s="2">
        <v>50077</v>
      </c>
      <c r="C888" s="2" t="s">
        <v>44</v>
      </c>
      <c r="D888" s="2" t="s">
        <v>37</v>
      </c>
      <c r="E888" s="2" t="s">
        <v>56</v>
      </c>
    </row>
    <row r="889" spans="1:5" ht="13" x14ac:dyDescent="0.15">
      <c r="A889" s="2" t="s">
        <v>20</v>
      </c>
      <c r="B889" s="2">
        <v>45847</v>
      </c>
      <c r="C889" s="2" t="s">
        <v>44</v>
      </c>
      <c r="D889" s="2" t="s">
        <v>38</v>
      </c>
      <c r="E889" s="2" t="s">
        <v>56</v>
      </c>
    </row>
    <row r="890" spans="1:5" ht="13" x14ac:dyDescent="0.15">
      <c r="A890" s="2" t="s">
        <v>20</v>
      </c>
      <c r="B890" s="2">
        <v>47247</v>
      </c>
      <c r="C890" s="2" t="s">
        <v>45</v>
      </c>
      <c r="D890" s="2" t="s">
        <v>37</v>
      </c>
      <c r="E890" s="2" t="s">
        <v>56</v>
      </c>
    </row>
    <row r="891" spans="1:5" ht="13" x14ac:dyDescent="0.15">
      <c r="A891" s="2" t="s">
        <v>20</v>
      </c>
      <c r="B891" s="2">
        <v>43983</v>
      </c>
      <c r="C891" s="2" t="s">
        <v>45</v>
      </c>
      <c r="D891" s="2" t="s">
        <v>38</v>
      </c>
      <c r="E891" s="2" t="s">
        <v>56</v>
      </c>
    </row>
    <row r="892" spans="1:5" ht="13" x14ac:dyDescent="0.15">
      <c r="A892" s="2" t="s">
        <v>20</v>
      </c>
      <c r="B892" s="2">
        <v>40341</v>
      </c>
      <c r="C892" s="2" t="s">
        <v>46</v>
      </c>
      <c r="D892" s="2" t="s">
        <v>37</v>
      </c>
      <c r="E892" s="2" t="s">
        <v>56</v>
      </c>
    </row>
    <row r="893" spans="1:5" ht="13" x14ac:dyDescent="0.15">
      <c r="A893" s="2" t="s">
        <v>20</v>
      </c>
      <c r="B893" s="2">
        <v>37273</v>
      </c>
      <c r="C893" s="2" t="s">
        <v>46</v>
      </c>
      <c r="D893" s="2" t="s">
        <v>38</v>
      </c>
      <c r="E893" s="2" t="s">
        <v>56</v>
      </c>
    </row>
    <row r="894" spans="1:5" ht="13" x14ac:dyDescent="0.15">
      <c r="A894" s="2" t="s">
        <v>20</v>
      </c>
      <c r="B894" s="2">
        <v>41076</v>
      </c>
      <c r="C894" s="2" t="s">
        <v>47</v>
      </c>
      <c r="D894" s="2" t="s">
        <v>37</v>
      </c>
      <c r="E894" s="2" t="s">
        <v>56</v>
      </c>
    </row>
    <row r="895" spans="1:5" ht="13" x14ac:dyDescent="0.15">
      <c r="A895" s="2" t="s">
        <v>20</v>
      </c>
      <c r="B895" s="2">
        <v>38689</v>
      </c>
      <c r="C895" s="2" t="s">
        <v>47</v>
      </c>
      <c r="D895" s="2" t="s">
        <v>38</v>
      </c>
      <c r="E895" s="2" t="s">
        <v>56</v>
      </c>
    </row>
    <row r="896" spans="1:5" ht="13" x14ac:dyDescent="0.15">
      <c r="A896" s="2" t="s">
        <v>20</v>
      </c>
      <c r="B896" s="2">
        <v>43416</v>
      </c>
      <c r="C896" s="2" t="s">
        <v>48</v>
      </c>
      <c r="D896" s="2" t="s">
        <v>37</v>
      </c>
      <c r="E896" s="2" t="s">
        <v>56</v>
      </c>
    </row>
    <row r="897" spans="1:5" ht="13" x14ac:dyDescent="0.15">
      <c r="A897" s="2" t="s">
        <v>20</v>
      </c>
      <c r="B897" s="2">
        <v>40795</v>
      </c>
      <c r="C897" s="2" t="s">
        <v>48</v>
      </c>
      <c r="D897" s="2" t="s">
        <v>38</v>
      </c>
      <c r="E897" s="2" t="s">
        <v>56</v>
      </c>
    </row>
    <row r="898" spans="1:5" ht="13" x14ac:dyDescent="0.15">
      <c r="A898" s="2" t="s">
        <v>20</v>
      </c>
      <c r="B898" s="2">
        <v>45274</v>
      </c>
      <c r="C898" s="2" t="s">
        <v>49</v>
      </c>
      <c r="D898" s="2" t="s">
        <v>37</v>
      </c>
      <c r="E898" s="2" t="s">
        <v>56</v>
      </c>
    </row>
    <row r="899" spans="1:5" ht="13" x14ac:dyDescent="0.15">
      <c r="A899" s="2" t="s">
        <v>20</v>
      </c>
      <c r="B899" s="2">
        <v>43389</v>
      </c>
      <c r="C899" s="2" t="s">
        <v>49</v>
      </c>
      <c r="D899" s="2" t="s">
        <v>38</v>
      </c>
      <c r="E899" s="2" t="s">
        <v>56</v>
      </c>
    </row>
    <row r="900" spans="1:5" ht="13" x14ac:dyDescent="0.15">
      <c r="A900" s="2" t="s">
        <v>20</v>
      </c>
      <c r="B900" s="2">
        <v>47236</v>
      </c>
      <c r="C900" s="2" t="s">
        <v>50</v>
      </c>
      <c r="D900" s="2" t="s">
        <v>37</v>
      </c>
      <c r="E900" s="2" t="s">
        <v>56</v>
      </c>
    </row>
    <row r="901" spans="1:5" ht="13" x14ac:dyDescent="0.15">
      <c r="A901" s="2" t="s">
        <v>20</v>
      </c>
      <c r="B901" s="2">
        <v>43785</v>
      </c>
      <c r="C901" s="2" t="s">
        <v>50</v>
      </c>
      <c r="D901" s="2" t="s">
        <v>38</v>
      </c>
      <c r="E901" s="2" t="s">
        <v>56</v>
      </c>
    </row>
    <row r="902" spans="1:5" ht="13" x14ac:dyDescent="0.15">
      <c r="A902" s="2" t="s">
        <v>20</v>
      </c>
      <c r="B902" s="2">
        <v>47360</v>
      </c>
      <c r="C902" s="2" t="s">
        <v>51</v>
      </c>
      <c r="D902" s="2" t="s">
        <v>37</v>
      </c>
      <c r="E902" s="2" t="s">
        <v>56</v>
      </c>
    </row>
    <row r="903" spans="1:5" ht="13" x14ac:dyDescent="0.15">
      <c r="A903" s="2" t="s">
        <v>20</v>
      </c>
      <c r="B903" s="2">
        <v>46728</v>
      </c>
      <c r="C903" s="2" t="s">
        <v>51</v>
      </c>
      <c r="D903" s="2" t="s">
        <v>38</v>
      </c>
      <c r="E903" s="2" t="s">
        <v>56</v>
      </c>
    </row>
    <row r="904" spans="1:5" ht="13" x14ac:dyDescent="0.15">
      <c r="A904" s="2" t="s">
        <v>20</v>
      </c>
      <c r="B904" s="2">
        <v>37224</v>
      </c>
      <c r="C904" s="2" t="s">
        <v>52</v>
      </c>
      <c r="D904" s="2" t="s">
        <v>37</v>
      </c>
      <c r="E904" s="2" t="s">
        <v>56</v>
      </c>
    </row>
    <row r="905" spans="1:5" ht="13" x14ac:dyDescent="0.15">
      <c r="A905" s="2" t="s">
        <v>20</v>
      </c>
      <c r="B905" s="2">
        <v>41001</v>
      </c>
      <c r="C905" s="2" t="s">
        <v>52</v>
      </c>
      <c r="D905" s="2" t="s">
        <v>38</v>
      </c>
      <c r="E905" s="2" t="s">
        <v>56</v>
      </c>
    </row>
    <row r="906" spans="1:5" ht="13" x14ac:dyDescent="0.15">
      <c r="A906" s="2" t="s">
        <v>20</v>
      </c>
      <c r="B906" s="2">
        <v>29798</v>
      </c>
      <c r="C906" s="2" t="s">
        <v>53</v>
      </c>
      <c r="D906" s="2" t="s">
        <v>37</v>
      </c>
      <c r="E906" s="2" t="s">
        <v>56</v>
      </c>
    </row>
    <row r="907" spans="1:5" ht="13" x14ac:dyDescent="0.15">
      <c r="A907" s="2" t="s">
        <v>20</v>
      </c>
      <c r="B907" s="2">
        <v>34494</v>
      </c>
      <c r="C907" s="2" t="s">
        <v>53</v>
      </c>
      <c r="D907" s="2" t="s">
        <v>38</v>
      </c>
      <c r="E907" s="2" t="s">
        <v>56</v>
      </c>
    </row>
    <row r="908" spans="1:5" ht="13" x14ac:dyDescent="0.15">
      <c r="A908" s="2" t="s">
        <v>20</v>
      </c>
      <c r="B908" s="2">
        <v>26718</v>
      </c>
      <c r="C908" s="2" t="s">
        <v>54</v>
      </c>
      <c r="D908" s="2" t="s">
        <v>37</v>
      </c>
      <c r="E908" s="2" t="s">
        <v>56</v>
      </c>
    </row>
    <row r="909" spans="1:5" ht="13" x14ac:dyDescent="0.15">
      <c r="A909" s="2" t="s">
        <v>20</v>
      </c>
      <c r="B909" s="2">
        <v>30814</v>
      </c>
      <c r="C909" s="2" t="s">
        <v>54</v>
      </c>
      <c r="D909" s="2" t="s">
        <v>38</v>
      </c>
      <c r="E909" s="2" t="s">
        <v>56</v>
      </c>
    </row>
    <row r="910" spans="1:5" ht="13" x14ac:dyDescent="0.15">
      <c r="A910" s="2" t="s">
        <v>20</v>
      </c>
      <c r="B910" s="2">
        <v>22573</v>
      </c>
      <c r="C910" s="2" t="s">
        <v>55</v>
      </c>
      <c r="D910" s="2" t="s">
        <v>37</v>
      </c>
      <c r="E910" s="2" t="s">
        <v>56</v>
      </c>
    </row>
    <row r="911" spans="1:5" ht="13" x14ac:dyDescent="0.15">
      <c r="A911" s="2" t="s">
        <v>20</v>
      </c>
      <c r="B911" s="2">
        <v>26751</v>
      </c>
      <c r="C911" s="2" t="s">
        <v>55</v>
      </c>
      <c r="D911" s="2" t="s">
        <v>38</v>
      </c>
      <c r="E911" s="2" t="s">
        <v>56</v>
      </c>
    </row>
    <row r="912" spans="1:5" ht="13" x14ac:dyDescent="0.15">
      <c r="A912" s="2" t="s">
        <v>20</v>
      </c>
      <c r="B912" s="2">
        <v>42130</v>
      </c>
      <c r="C912" s="2" t="s">
        <v>42</v>
      </c>
      <c r="D912" s="2" t="s">
        <v>37</v>
      </c>
      <c r="E912" s="2" t="s">
        <v>57</v>
      </c>
    </row>
    <row r="913" spans="1:5" ht="13" x14ac:dyDescent="0.15">
      <c r="A913" s="2" t="s">
        <v>20</v>
      </c>
      <c r="B913" s="2">
        <v>38512</v>
      </c>
      <c r="C913" s="2" t="s">
        <v>42</v>
      </c>
      <c r="D913" s="2" t="s">
        <v>38</v>
      </c>
      <c r="E913" s="2" t="s">
        <v>57</v>
      </c>
    </row>
    <row r="914" spans="1:5" ht="13" x14ac:dyDescent="0.15">
      <c r="A914" s="2" t="s">
        <v>20</v>
      </c>
      <c r="B914" s="2">
        <v>45776</v>
      </c>
      <c r="C914" s="2" t="s">
        <v>44</v>
      </c>
      <c r="D914" s="2" t="s">
        <v>37</v>
      </c>
      <c r="E914" s="2" t="s">
        <v>57</v>
      </c>
    </row>
    <row r="915" spans="1:5" ht="13" x14ac:dyDescent="0.15">
      <c r="A915" s="2" t="s">
        <v>20</v>
      </c>
      <c r="B915" s="2">
        <v>40734</v>
      </c>
      <c r="C915" s="2" t="s">
        <v>44</v>
      </c>
      <c r="D915" s="2" t="s">
        <v>38</v>
      </c>
      <c r="E915" s="2" t="s">
        <v>57</v>
      </c>
    </row>
    <row r="916" spans="1:5" ht="13" x14ac:dyDescent="0.15">
      <c r="A916" s="2" t="s">
        <v>20</v>
      </c>
      <c r="B916" s="2">
        <v>47157</v>
      </c>
      <c r="C916" s="2" t="s">
        <v>45</v>
      </c>
      <c r="D916" s="2" t="s">
        <v>37</v>
      </c>
      <c r="E916" s="2" t="s">
        <v>57</v>
      </c>
    </row>
    <row r="917" spans="1:5" ht="13" x14ac:dyDescent="0.15">
      <c r="A917" s="2" t="s">
        <v>20</v>
      </c>
      <c r="B917" s="2">
        <v>43820</v>
      </c>
      <c r="C917" s="2" t="s">
        <v>45</v>
      </c>
      <c r="D917" s="2" t="s">
        <v>38</v>
      </c>
      <c r="E917" s="2" t="s">
        <v>57</v>
      </c>
    </row>
    <row r="918" spans="1:5" ht="13" x14ac:dyDescent="0.15">
      <c r="A918" s="2" t="s">
        <v>20</v>
      </c>
      <c r="B918" s="2">
        <v>45316</v>
      </c>
      <c r="C918" s="2" t="s">
        <v>46</v>
      </c>
      <c r="D918" s="2" t="s">
        <v>37</v>
      </c>
      <c r="E918" s="2" t="s">
        <v>57</v>
      </c>
    </row>
    <row r="919" spans="1:5" ht="13" x14ac:dyDescent="0.15">
      <c r="A919" s="2" t="s">
        <v>20</v>
      </c>
      <c r="B919" s="2">
        <v>42467</v>
      </c>
      <c r="C919" s="2" t="s">
        <v>46</v>
      </c>
      <c r="D919" s="2" t="s">
        <v>38</v>
      </c>
      <c r="E919" s="2" t="s">
        <v>57</v>
      </c>
    </row>
    <row r="920" spans="1:5" ht="13" x14ac:dyDescent="0.15">
      <c r="A920" s="2" t="s">
        <v>20</v>
      </c>
      <c r="B920" s="2">
        <v>38876</v>
      </c>
      <c r="C920" s="2" t="s">
        <v>47</v>
      </c>
      <c r="D920" s="2" t="s">
        <v>37</v>
      </c>
      <c r="E920" s="2" t="s">
        <v>57</v>
      </c>
    </row>
    <row r="921" spans="1:5" ht="13" x14ac:dyDescent="0.15">
      <c r="A921" s="2" t="s">
        <v>20</v>
      </c>
      <c r="B921" s="2">
        <v>36120</v>
      </c>
      <c r="C921" s="2" t="s">
        <v>47</v>
      </c>
      <c r="D921" s="2" t="s">
        <v>38</v>
      </c>
      <c r="E921" s="2" t="s">
        <v>57</v>
      </c>
    </row>
    <row r="922" spans="1:5" ht="13" x14ac:dyDescent="0.15">
      <c r="A922" s="2" t="s">
        <v>20</v>
      </c>
      <c r="B922" s="2">
        <v>39861</v>
      </c>
      <c r="C922" s="2" t="s">
        <v>48</v>
      </c>
      <c r="D922" s="2" t="s">
        <v>37</v>
      </c>
      <c r="E922" s="2" t="s">
        <v>57</v>
      </c>
    </row>
    <row r="923" spans="1:5" ht="13" x14ac:dyDescent="0.15">
      <c r="A923" s="2" t="s">
        <v>20</v>
      </c>
      <c r="B923" s="2">
        <v>37907</v>
      </c>
      <c r="C923" s="2" t="s">
        <v>48</v>
      </c>
      <c r="D923" s="2" t="s">
        <v>38</v>
      </c>
      <c r="E923" s="2" t="s">
        <v>57</v>
      </c>
    </row>
    <row r="924" spans="1:5" ht="13" x14ac:dyDescent="0.15">
      <c r="A924" s="2" t="s">
        <v>20</v>
      </c>
      <c r="B924" s="2">
        <v>41460</v>
      </c>
      <c r="C924" s="2" t="s">
        <v>49</v>
      </c>
      <c r="D924" s="2" t="s">
        <v>37</v>
      </c>
      <c r="E924" s="2" t="s">
        <v>57</v>
      </c>
    </row>
    <row r="925" spans="1:5" ht="13" x14ac:dyDescent="0.15">
      <c r="A925" s="2" t="s">
        <v>20</v>
      </c>
      <c r="B925" s="2">
        <v>39748</v>
      </c>
      <c r="C925" s="2" t="s">
        <v>49</v>
      </c>
      <c r="D925" s="2" t="s">
        <v>38</v>
      </c>
      <c r="E925" s="2" t="s">
        <v>57</v>
      </c>
    </row>
    <row r="926" spans="1:5" ht="13" x14ac:dyDescent="0.15">
      <c r="A926" s="2" t="s">
        <v>20</v>
      </c>
      <c r="B926" s="2">
        <v>43769</v>
      </c>
      <c r="C926" s="2" t="s">
        <v>50</v>
      </c>
      <c r="D926" s="2" t="s">
        <v>37</v>
      </c>
      <c r="E926" s="2" t="s">
        <v>57</v>
      </c>
    </row>
    <row r="927" spans="1:5" ht="13" x14ac:dyDescent="0.15">
      <c r="A927" s="2" t="s">
        <v>20</v>
      </c>
      <c r="B927" s="2">
        <v>40863</v>
      </c>
      <c r="C927" s="2" t="s">
        <v>50</v>
      </c>
      <c r="D927" s="2" t="s">
        <v>38</v>
      </c>
      <c r="E927" s="2" t="s">
        <v>57</v>
      </c>
    </row>
    <row r="928" spans="1:5" ht="13" x14ac:dyDescent="0.15">
      <c r="A928" s="2" t="s">
        <v>20</v>
      </c>
      <c r="B928" s="2">
        <v>44036</v>
      </c>
      <c r="C928" s="2" t="s">
        <v>51</v>
      </c>
      <c r="D928" s="2" t="s">
        <v>37</v>
      </c>
      <c r="E928" s="2" t="s">
        <v>57</v>
      </c>
    </row>
    <row r="929" spans="1:5" ht="13" x14ac:dyDescent="0.15">
      <c r="A929" s="2" t="s">
        <v>20</v>
      </c>
      <c r="B929" s="2">
        <v>42320</v>
      </c>
      <c r="C929" s="2" t="s">
        <v>51</v>
      </c>
      <c r="D929" s="2" t="s">
        <v>38</v>
      </c>
      <c r="E929" s="2" t="s">
        <v>57</v>
      </c>
    </row>
    <row r="930" spans="1:5" ht="13" x14ac:dyDescent="0.15">
      <c r="A930" s="2" t="s">
        <v>20</v>
      </c>
      <c r="B930" s="2">
        <v>43447</v>
      </c>
      <c r="C930" s="2" t="s">
        <v>52</v>
      </c>
      <c r="D930" s="2" t="s">
        <v>37</v>
      </c>
      <c r="E930" s="2" t="s">
        <v>57</v>
      </c>
    </row>
    <row r="931" spans="1:5" ht="13" x14ac:dyDescent="0.15">
      <c r="A931" s="2" t="s">
        <v>20</v>
      </c>
      <c r="B931" s="2">
        <v>45172</v>
      </c>
      <c r="C931" s="2" t="s">
        <v>52</v>
      </c>
      <c r="D931" s="2" t="s">
        <v>38</v>
      </c>
      <c r="E931" s="2" t="s">
        <v>57</v>
      </c>
    </row>
    <row r="932" spans="1:5" ht="13" x14ac:dyDescent="0.15">
      <c r="A932" s="2" t="s">
        <v>20</v>
      </c>
      <c r="B932" s="2">
        <v>34501</v>
      </c>
      <c r="C932" s="2" t="s">
        <v>53</v>
      </c>
      <c r="D932" s="2" t="s">
        <v>37</v>
      </c>
      <c r="E932" s="2" t="s">
        <v>57</v>
      </c>
    </row>
    <row r="933" spans="1:5" ht="13" x14ac:dyDescent="0.15">
      <c r="A933" s="2" t="s">
        <v>20</v>
      </c>
      <c r="B933" s="2">
        <v>39505</v>
      </c>
      <c r="C933" s="2" t="s">
        <v>53</v>
      </c>
      <c r="D933" s="2" t="s">
        <v>38</v>
      </c>
      <c r="E933" s="2" t="s">
        <v>57</v>
      </c>
    </row>
    <row r="934" spans="1:5" ht="13" x14ac:dyDescent="0.15">
      <c r="A934" s="2" t="s">
        <v>20</v>
      </c>
      <c r="B934" s="2">
        <v>28509</v>
      </c>
      <c r="C934" s="2" t="s">
        <v>54</v>
      </c>
      <c r="D934" s="2" t="s">
        <v>37</v>
      </c>
      <c r="E934" s="2" t="s">
        <v>57</v>
      </c>
    </row>
    <row r="935" spans="1:5" ht="13" x14ac:dyDescent="0.15">
      <c r="A935" s="2" t="s">
        <v>20</v>
      </c>
      <c r="B935" s="2">
        <v>33744</v>
      </c>
      <c r="C935" s="2" t="s">
        <v>54</v>
      </c>
      <c r="D935" s="2" t="s">
        <v>38</v>
      </c>
      <c r="E935" s="2" t="s">
        <v>57</v>
      </c>
    </row>
    <row r="936" spans="1:5" ht="13" x14ac:dyDescent="0.15">
      <c r="A936" s="2" t="s">
        <v>20</v>
      </c>
      <c r="B936" s="2">
        <v>23897</v>
      </c>
      <c r="C936" s="2" t="s">
        <v>55</v>
      </c>
      <c r="D936" s="2" t="s">
        <v>37</v>
      </c>
      <c r="E936" s="2" t="s">
        <v>57</v>
      </c>
    </row>
    <row r="937" spans="1:5" ht="13" x14ac:dyDescent="0.15">
      <c r="A937" s="2" t="s">
        <v>20</v>
      </c>
      <c r="B937" s="2">
        <v>28254</v>
      </c>
      <c r="C937" s="2" t="s">
        <v>55</v>
      </c>
      <c r="D937" s="2" t="s">
        <v>38</v>
      </c>
      <c r="E937" s="2" t="s">
        <v>57</v>
      </c>
    </row>
    <row r="938" spans="1:5" ht="13" x14ac:dyDescent="0.15">
      <c r="A938" s="2" t="s">
        <v>26</v>
      </c>
      <c r="B938" s="2">
        <v>64867</v>
      </c>
      <c r="C938" s="2" t="s">
        <v>42</v>
      </c>
      <c r="D938" s="2" t="s">
        <v>37</v>
      </c>
      <c r="E938" s="2" t="s">
        <v>43</v>
      </c>
    </row>
    <row r="939" spans="1:5" ht="13" x14ac:dyDescent="0.15">
      <c r="A939" s="2" t="s">
        <v>26</v>
      </c>
      <c r="B939" s="2">
        <v>60312</v>
      </c>
      <c r="C939" s="2" t="s">
        <v>42</v>
      </c>
      <c r="D939" s="2" t="s">
        <v>38</v>
      </c>
      <c r="E939" s="2" t="s">
        <v>43</v>
      </c>
    </row>
    <row r="940" spans="1:5" ht="13" x14ac:dyDescent="0.15">
      <c r="A940" s="2" t="s">
        <v>26</v>
      </c>
      <c r="B940" s="2">
        <v>60853</v>
      </c>
      <c r="C940" s="2" t="s">
        <v>44</v>
      </c>
      <c r="D940" s="2" t="s">
        <v>37</v>
      </c>
      <c r="E940" s="2" t="s">
        <v>43</v>
      </c>
    </row>
    <row r="941" spans="1:5" ht="13" x14ac:dyDescent="0.15">
      <c r="A941" s="2" t="s">
        <v>26</v>
      </c>
      <c r="B941" s="2">
        <v>56004</v>
      </c>
      <c r="C941" s="2" t="s">
        <v>44</v>
      </c>
      <c r="D941" s="2" t="s">
        <v>38</v>
      </c>
      <c r="E941" s="2" t="s">
        <v>43</v>
      </c>
    </row>
    <row r="942" spans="1:5" ht="13" x14ac:dyDescent="0.15">
      <c r="A942" s="2" t="s">
        <v>26</v>
      </c>
      <c r="B942" s="2">
        <v>52751</v>
      </c>
      <c r="C942" s="2" t="s">
        <v>45</v>
      </c>
      <c r="D942" s="2" t="s">
        <v>37</v>
      </c>
      <c r="E942" s="2" t="s">
        <v>43</v>
      </c>
    </row>
    <row r="943" spans="1:5" ht="13" x14ac:dyDescent="0.15">
      <c r="A943" s="2" t="s">
        <v>26</v>
      </c>
      <c r="B943" s="2">
        <v>48010</v>
      </c>
      <c r="C943" s="2" t="s">
        <v>45</v>
      </c>
      <c r="D943" s="2" t="s">
        <v>38</v>
      </c>
      <c r="E943" s="2" t="s">
        <v>43</v>
      </c>
    </row>
    <row r="944" spans="1:5" ht="13" x14ac:dyDescent="0.15">
      <c r="A944" s="2" t="s">
        <v>26</v>
      </c>
      <c r="B944" s="2">
        <v>55906</v>
      </c>
      <c r="C944" s="2" t="s">
        <v>46</v>
      </c>
      <c r="D944" s="2" t="s">
        <v>37</v>
      </c>
      <c r="E944" s="2" t="s">
        <v>43</v>
      </c>
    </row>
    <row r="945" spans="1:5" ht="13" x14ac:dyDescent="0.15">
      <c r="A945" s="2" t="s">
        <v>26</v>
      </c>
      <c r="B945" s="2">
        <v>51385</v>
      </c>
      <c r="C945" s="2" t="s">
        <v>46</v>
      </c>
      <c r="D945" s="2" t="s">
        <v>38</v>
      </c>
      <c r="E945" s="2" t="s">
        <v>43</v>
      </c>
    </row>
    <row r="946" spans="1:5" ht="13" x14ac:dyDescent="0.15">
      <c r="A946" s="2" t="s">
        <v>26</v>
      </c>
      <c r="B946" s="2">
        <v>58099</v>
      </c>
      <c r="C946" s="2" t="s">
        <v>47</v>
      </c>
      <c r="D946" s="2" t="s">
        <v>37</v>
      </c>
      <c r="E946" s="2" t="s">
        <v>43</v>
      </c>
    </row>
    <row r="947" spans="1:5" ht="13" x14ac:dyDescent="0.15">
      <c r="A947" s="2" t="s">
        <v>26</v>
      </c>
      <c r="B947" s="2">
        <v>52868</v>
      </c>
      <c r="C947" s="2" t="s">
        <v>47</v>
      </c>
      <c r="D947" s="2" t="s">
        <v>38</v>
      </c>
      <c r="E947" s="2" t="s">
        <v>43</v>
      </c>
    </row>
    <row r="948" spans="1:5" ht="13" x14ac:dyDescent="0.15">
      <c r="A948" s="2" t="s">
        <v>26</v>
      </c>
      <c r="B948" s="2">
        <v>58065</v>
      </c>
      <c r="C948" s="2" t="s">
        <v>48</v>
      </c>
      <c r="D948" s="2" t="s">
        <v>37</v>
      </c>
      <c r="E948" s="2" t="s">
        <v>43</v>
      </c>
    </row>
    <row r="949" spans="1:5" ht="13" x14ac:dyDescent="0.15">
      <c r="A949" s="2" t="s">
        <v>26</v>
      </c>
      <c r="B949" s="2">
        <v>53850</v>
      </c>
      <c r="C949" s="2" t="s">
        <v>48</v>
      </c>
      <c r="D949" s="2" t="s">
        <v>38</v>
      </c>
      <c r="E949" s="2" t="s">
        <v>43</v>
      </c>
    </row>
    <row r="950" spans="1:5" ht="13" x14ac:dyDescent="0.15">
      <c r="A950" s="2" t="s">
        <v>26</v>
      </c>
      <c r="B950" s="2">
        <v>58223</v>
      </c>
      <c r="C950" s="2" t="s">
        <v>49</v>
      </c>
      <c r="D950" s="2" t="s">
        <v>37</v>
      </c>
      <c r="E950" s="2" t="s">
        <v>43</v>
      </c>
    </row>
    <row r="951" spans="1:5" ht="13" x14ac:dyDescent="0.15">
      <c r="A951" s="2" t="s">
        <v>26</v>
      </c>
      <c r="B951" s="2">
        <v>54993</v>
      </c>
      <c r="C951" s="2" t="s">
        <v>49</v>
      </c>
      <c r="D951" s="2" t="s">
        <v>38</v>
      </c>
      <c r="E951" s="2" t="s">
        <v>43</v>
      </c>
    </row>
    <row r="952" spans="1:5" ht="13" x14ac:dyDescent="0.15">
      <c r="A952" s="2" t="s">
        <v>26</v>
      </c>
      <c r="B952" s="2">
        <v>61119</v>
      </c>
      <c r="C952" s="2" t="s">
        <v>50</v>
      </c>
      <c r="D952" s="2" t="s">
        <v>37</v>
      </c>
      <c r="E952" s="2" t="s">
        <v>43</v>
      </c>
    </row>
    <row r="953" spans="1:5" ht="13" x14ac:dyDescent="0.15">
      <c r="A953" s="2" t="s">
        <v>26</v>
      </c>
      <c r="B953" s="2">
        <v>57109</v>
      </c>
      <c r="C953" s="2" t="s">
        <v>50</v>
      </c>
      <c r="D953" s="2" t="s">
        <v>38</v>
      </c>
      <c r="E953" s="2" t="s">
        <v>43</v>
      </c>
    </row>
    <row r="954" spans="1:5" ht="13" x14ac:dyDescent="0.15">
      <c r="A954" s="2" t="s">
        <v>26</v>
      </c>
      <c r="B954" s="2">
        <v>51374</v>
      </c>
      <c r="C954" s="2" t="s">
        <v>51</v>
      </c>
      <c r="D954" s="2" t="s">
        <v>37</v>
      </c>
      <c r="E954" s="2" t="s">
        <v>43</v>
      </c>
    </row>
    <row r="955" spans="1:5" ht="13" x14ac:dyDescent="0.15">
      <c r="A955" s="2" t="s">
        <v>26</v>
      </c>
      <c r="B955" s="2">
        <v>52529</v>
      </c>
      <c r="C955" s="2" t="s">
        <v>51</v>
      </c>
      <c r="D955" s="2" t="s">
        <v>38</v>
      </c>
      <c r="E955" s="2" t="s">
        <v>43</v>
      </c>
    </row>
    <row r="956" spans="1:5" ht="13" x14ac:dyDescent="0.15">
      <c r="A956" s="2" t="s">
        <v>26</v>
      </c>
      <c r="B956" s="2">
        <v>41178</v>
      </c>
      <c r="C956" s="2" t="s">
        <v>52</v>
      </c>
      <c r="D956" s="2" t="s">
        <v>37</v>
      </c>
      <c r="E956" s="2" t="s">
        <v>43</v>
      </c>
    </row>
    <row r="957" spans="1:5" ht="13" x14ac:dyDescent="0.15">
      <c r="A957" s="2" t="s">
        <v>26</v>
      </c>
      <c r="B957" s="2">
        <v>44428</v>
      </c>
      <c r="C957" s="2" t="s">
        <v>52</v>
      </c>
      <c r="D957" s="2" t="s">
        <v>38</v>
      </c>
      <c r="E957" s="2" t="s">
        <v>43</v>
      </c>
    </row>
    <row r="958" spans="1:5" ht="13" x14ac:dyDescent="0.15">
      <c r="A958" s="2" t="s">
        <v>26</v>
      </c>
      <c r="B958" s="2">
        <v>35764</v>
      </c>
      <c r="C958" s="2" t="s">
        <v>53</v>
      </c>
      <c r="D958" s="2" t="s">
        <v>37</v>
      </c>
      <c r="E958" s="2" t="s">
        <v>43</v>
      </c>
    </row>
    <row r="959" spans="1:5" ht="13" x14ac:dyDescent="0.15">
      <c r="A959" s="2" t="s">
        <v>26</v>
      </c>
      <c r="B959" s="2">
        <v>39390</v>
      </c>
      <c r="C959" s="2" t="s">
        <v>53</v>
      </c>
      <c r="D959" s="2" t="s">
        <v>38</v>
      </c>
      <c r="E959" s="2" t="s">
        <v>43</v>
      </c>
    </row>
    <row r="960" spans="1:5" ht="13" x14ac:dyDescent="0.15">
      <c r="A960" s="2" t="s">
        <v>26</v>
      </c>
      <c r="B960" s="2">
        <v>33217</v>
      </c>
      <c r="C960" s="2" t="s">
        <v>54</v>
      </c>
      <c r="D960" s="2" t="s">
        <v>37</v>
      </c>
      <c r="E960" s="2" t="s">
        <v>43</v>
      </c>
    </row>
    <row r="961" spans="1:5" ht="13" x14ac:dyDescent="0.15">
      <c r="A961" s="2" t="s">
        <v>26</v>
      </c>
      <c r="B961" s="2">
        <v>36996</v>
      </c>
      <c r="C961" s="2" t="s">
        <v>54</v>
      </c>
      <c r="D961" s="2" t="s">
        <v>38</v>
      </c>
      <c r="E961" s="2" t="s">
        <v>43</v>
      </c>
    </row>
    <row r="962" spans="1:5" ht="13" x14ac:dyDescent="0.15">
      <c r="A962" s="2" t="s">
        <v>26</v>
      </c>
      <c r="B962" s="2">
        <v>26510</v>
      </c>
      <c r="C962" s="2" t="s">
        <v>55</v>
      </c>
      <c r="D962" s="2" t="s">
        <v>37</v>
      </c>
      <c r="E962" s="2" t="s">
        <v>43</v>
      </c>
    </row>
    <row r="963" spans="1:5" ht="13" x14ac:dyDescent="0.15">
      <c r="A963" s="2" t="s">
        <v>26</v>
      </c>
      <c r="B963" s="2">
        <v>31899</v>
      </c>
      <c r="C963" s="2" t="s">
        <v>55</v>
      </c>
      <c r="D963" s="2" t="s">
        <v>38</v>
      </c>
      <c r="E963" s="2" t="s">
        <v>43</v>
      </c>
    </row>
    <row r="964" spans="1:5" ht="13" x14ac:dyDescent="0.15">
      <c r="A964" s="2" t="s">
        <v>26</v>
      </c>
      <c r="B964" s="2">
        <v>56414</v>
      </c>
      <c r="C964" s="2" t="s">
        <v>42</v>
      </c>
      <c r="D964" s="2" t="s">
        <v>37</v>
      </c>
      <c r="E964" s="2" t="s">
        <v>56</v>
      </c>
    </row>
    <row r="965" spans="1:5" ht="13" x14ac:dyDescent="0.15">
      <c r="A965" s="2" t="s">
        <v>26</v>
      </c>
      <c r="B965" s="2">
        <v>51298</v>
      </c>
      <c r="C965" s="2" t="s">
        <v>42</v>
      </c>
      <c r="D965" s="2" t="s">
        <v>38</v>
      </c>
      <c r="E965" s="2" t="s">
        <v>56</v>
      </c>
    </row>
    <row r="966" spans="1:5" ht="13" x14ac:dyDescent="0.15">
      <c r="A966" s="2" t="s">
        <v>26</v>
      </c>
      <c r="B966" s="2">
        <v>65119</v>
      </c>
      <c r="C966" s="2" t="s">
        <v>44</v>
      </c>
      <c r="D966" s="2" t="s">
        <v>37</v>
      </c>
      <c r="E966" s="2" t="s">
        <v>56</v>
      </c>
    </row>
    <row r="967" spans="1:5" ht="13" x14ac:dyDescent="0.15">
      <c r="A967" s="2" t="s">
        <v>26</v>
      </c>
      <c r="B967" s="2">
        <v>60248</v>
      </c>
      <c r="C967" s="2" t="s">
        <v>44</v>
      </c>
      <c r="D967" s="2" t="s">
        <v>38</v>
      </c>
      <c r="E967" s="2" t="s">
        <v>56</v>
      </c>
    </row>
    <row r="968" spans="1:5" ht="13" x14ac:dyDescent="0.15">
      <c r="A968" s="2" t="s">
        <v>26</v>
      </c>
      <c r="B968" s="2">
        <v>59704</v>
      </c>
      <c r="C968" s="2" t="s">
        <v>45</v>
      </c>
      <c r="D968" s="2" t="s">
        <v>37</v>
      </c>
      <c r="E968" s="2" t="s">
        <v>56</v>
      </c>
    </row>
    <row r="969" spans="1:5" ht="13" x14ac:dyDescent="0.15">
      <c r="A969" s="2" t="s">
        <v>26</v>
      </c>
      <c r="B969" s="2">
        <v>55223</v>
      </c>
      <c r="C969" s="2" t="s">
        <v>45</v>
      </c>
      <c r="D969" s="2" t="s">
        <v>38</v>
      </c>
      <c r="E969" s="2" t="s">
        <v>56</v>
      </c>
    </row>
    <row r="970" spans="1:5" ht="13" x14ac:dyDescent="0.15">
      <c r="A970" s="2" t="s">
        <v>26</v>
      </c>
      <c r="B970" s="2">
        <v>52269</v>
      </c>
      <c r="C970" s="2" t="s">
        <v>46</v>
      </c>
      <c r="D970" s="2" t="s">
        <v>37</v>
      </c>
      <c r="E970" s="2" t="s">
        <v>56</v>
      </c>
    </row>
    <row r="971" spans="1:5" ht="13" x14ac:dyDescent="0.15">
      <c r="A971" s="2" t="s">
        <v>26</v>
      </c>
      <c r="B971" s="2">
        <v>47809</v>
      </c>
      <c r="C971" s="2" t="s">
        <v>46</v>
      </c>
      <c r="D971" s="2" t="s">
        <v>38</v>
      </c>
      <c r="E971" s="2" t="s">
        <v>56</v>
      </c>
    </row>
    <row r="972" spans="1:5" ht="13" x14ac:dyDescent="0.15">
      <c r="A972" s="2" t="s">
        <v>26</v>
      </c>
      <c r="B972" s="2">
        <v>55032</v>
      </c>
      <c r="C972" s="2" t="s">
        <v>47</v>
      </c>
      <c r="D972" s="2" t="s">
        <v>37</v>
      </c>
      <c r="E972" s="2" t="s">
        <v>56</v>
      </c>
    </row>
    <row r="973" spans="1:5" ht="13" x14ac:dyDescent="0.15">
      <c r="A973" s="2" t="s">
        <v>26</v>
      </c>
      <c r="B973" s="2">
        <v>50923</v>
      </c>
      <c r="C973" s="2" t="s">
        <v>47</v>
      </c>
      <c r="D973" s="2" t="s">
        <v>38</v>
      </c>
      <c r="E973" s="2" t="s">
        <v>56</v>
      </c>
    </row>
    <row r="974" spans="1:5" ht="13" x14ac:dyDescent="0.15">
      <c r="A974" s="2" t="s">
        <v>26</v>
      </c>
      <c r="B974" s="2">
        <v>56960</v>
      </c>
      <c r="C974" s="2" t="s">
        <v>48</v>
      </c>
      <c r="D974" s="2" t="s">
        <v>37</v>
      </c>
      <c r="E974" s="2" t="s">
        <v>56</v>
      </c>
    </row>
    <row r="975" spans="1:5" ht="13" x14ac:dyDescent="0.15">
      <c r="A975" s="2" t="s">
        <v>26</v>
      </c>
      <c r="B975" s="2">
        <v>52502</v>
      </c>
      <c r="C975" s="2" t="s">
        <v>48</v>
      </c>
      <c r="D975" s="2" t="s">
        <v>38</v>
      </c>
      <c r="E975" s="2" t="s">
        <v>56</v>
      </c>
    </row>
    <row r="976" spans="1:5" ht="13" x14ac:dyDescent="0.15">
      <c r="A976" s="2" t="s">
        <v>26</v>
      </c>
      <c r="B976" s="2">
        <v>56539</v>
      </c>
      <c r="C976" s="2" t="s">
        <v>49</v>
      </c>
      <c r="D976" s="2" t="s">
        <v>37</v>
      </c>
      <c r="E976" s="2" t="s">
        <v>56</v>
      </c>
    </row>
    <row r="977" spans="1:5" ht="13" x14ac:dyDescent="0.15">
      <c r="A977" s="2" t="s">
        <v>26</v>
      </c>
      <c r="B977" s="2">
        <v>53381</v>
      </c>
      <c r="C977" s="2" t="s">
        <v>49</v>
      </c>
      <c r="D977" s="2" t="s">
        <v>38</v>
      </c>
      <c r="E977" s="2" t="s">
        <v>56</v>
      </c>
    </row>
    <row r="978" spans="1:5" ht="13" x14ac:dyDescent="0.15">
      <c r="A978" s="2" t="s">
        <v>26</v>
      </c>
      <c r="B978" s="2">
        <v>57431</v>
      </c>
      <c r="C978" s="2" t="s">
        <v>50</v>
      </c>
      <c r="D978" s="2" t="s">
        <v>37</v>
      </c>
      <c r="E978" s="2" t="s">
        <v>56</v>
      </c>
    </row>
    <row r="979" spans="1:5" ht="13" x14ac:dyDescent="0.15">
      <c r="A979" s="2" t="s">
        <v>26</v>
      </c>
      <c r="B979" s="2">
        <v>53856</v>
      </c>
      <c r="C979" s="2" t="s">
        <v>50</v>
      </c>
      <c r="D979" s="2" t="s">
        <v>38</v>
      </c>
      <c r="E979" s="2" t="s">
        <v>56</v>
      </c>
    </row>
    <row r="980" spans="1:5" ht="13" x14ac:dyDescent="0.15">
      <c r="A980" s="2" t="s">
        <v>26</v>
      </c>
      <c r="B980" s="2">
        <v>55677</v>
      </c>
      <c r="C980" s="2" t="s">
        <v>51</v>
      </c>
      <c r="D980" s="2" t="s">
        <v>37</v>
      </c>
      <c r="E980" s="2" t="s">
        <v>56</v>
      </c>
    </row>
    <row r="981" spans="1:5" ht="13" x14ac:dyDescent="0.15">
      <c r="A981" s="2" t="s">
        <v>26</v>
      </c>
      <c r="B981" s="2">
        <v>54549</v>
      </c>
      <c r="C981" s="2" t="s">
        <v>51</v>
      </c>
      <c r="D981" s="2" t="s">
        <v>38</v>
      </c>
      <c r="E981" s="2" t="s">
        <v>56</v>
      </c>
    </row>
    <row r="982" spans="1:5" ht="13" x14ac:dyDescent="0.15">
      <c r="A982" s="2" t="s">
        <v>26</v>
      </c>
      <c r="B982" s="2">
        <v>46578</v>
      </c>
      <c r="C982" s="2" t="s">
        <v>52</v>
      </c>
      <c r="D982" s="2" t="s">
        <v>37</v>
      </c>
      <c r="E982" s="2" t="s">
        <v>56</v>
      </c>
    </row>
    <row r="983" spans="1:5" ht="13" x14ac:dyDescent="0.15">
      <c r="A983" s="2" t="s">
        <v>26</v>
      </c>
      <c r="B983" s="2">
        <v>49941</v>
      </c>
      <c r="C983" s="2" t="s">
        <v>52</v>
      </c>
      <c r="D983" s="2" t="s">
        <v>38</v>
      </c>
      <c r="E983" s="2" t="s">
        <v>56</v>
      </c>
    </row>
    <row r="984" spans="1:5" ht="13" x14ac:dyDescent="0.15">
      <c r="A984" s="2" t="s">
        <v>26</v>
      </c>
      <c r="B984" s="2">
        <v>37658</v>
      </c>
      <c r="C984" s="2" t="s">
        <v>53</v>
      </c>
      <c r="D984" s="2" t="s">
        <v>37</v>
      </c>
      <c r="E984" s="2" t="s">
        <v>56</v>
      </c>
    </row>
    <row r="985" spans="1:5" ht="13" x14ac:dyDescent="0.15">
      <c r="A985" s="2" t="s">
        <v>26</v>
      </c>
      <c r="B985" s="2">
        <v>42119</v>
      </c>
      <c r="C985" s="2" t="s">
        <v>53</v>
      </c>
      <c r="D985" s="2" t="s">
        <v>38</v>
      </c>
      <c r="E985" s="2" t="s">
        <v>56</v>
      </c>
    </row>
    <row r="986" spans="1:5" ht="13" x14ac:dyDescent="0.15">
      <c r="A986" s="2" t="s">
        <v>26</v>
      </c>
      <c r="B986" s="2">
        <v>34768</v>
      </c>
      <c r="C986" s="2" t="s">
        <v>54</v>
      </c>
      <c r="D986" s="2" t="s">
        <v>37</v>
      </c>
      <c r="E986" s="2" t="s">
        <v>56</v>
      </c>
    </row>
    <row r="987" spans="1:5" ht="13" x14ac:dyDescent="0.15">
      <c r="A987" s="2" t="s">
        <v>26</v>
      </c>
      <c r="B987" s="2">
        <v>38229</v>
      </c>
      <c r="C987" s="2" t="s">
        <v>54</v>
      </c>
      <c r="D987" s="2" t="s">
        <v>38</v>
      </c>
      <c r="E987" s="2" t="s">
        <v>56</v>
      </c>
    </row>
    <row r="988" spans="1:5" ht="13" x14ac:dyDescent="0.15">
      <c r="A988" s="2" t="s">
        <v>26</v>
      </c>
      <c r="B988" s="2">
        <v>29852</v>
      </c>
      <c r="C988" s="2" t="s">
        <v>55</v>
      </c>
      <c r="D988" s="2" t="s">
        <v>37</v>
      </c>
      <c r="E988" s="2" t="s">
        <v>56</v>
      </c>
    </row>
    <row r="989" spans="1:5" ht="13" x14ac:dyDescent="0.15">
      <c r="A989" s="2" t="s">
        <v>26</v>
      </c>
      <c r="B989" s="2">
        <v>34084</v>
      </c>
      <c r="C989" s="2" t="s">
        <v>55</v>
      </c>
      <c r="D989" s="2" t="s">
        <v>38</v>
      </c>
      <c r="E989" s="2" t="s">
        <v>56</v>
      </c>
    </row>
    <row r="990" spans="1:5" ht="13" x14ac:dyDescent="0.15">
      <c r="A990" s="2" t="s">
        <v>26</v>
      </c>
      <c r="B990" s="2">
        <v>54710</v>
      </c>
      <c r="C990" s="2" t="s">
        <v>42</v>
      </c>
      <c r="D990" s="2" t="s">
        <v>37</v>
      </c>
      <c r="E990" s="2" t="s">
        <v>57</v>
      </c>
    </row>
    <row r="991" spans="1:5" ht="13" x14ac:dyDescent="0.15">
      <c r="A991" s="2" t="s">
        <v>26</v>
      </c>
      <c r="B991" s="2">
        <v>50289</v>
      </c>
      <c r="C991" s="2" t="s">
        <v>42</v>
      </c>
      <c r="D991" s="2" t="s">
        <v>38</v>
      </c>
      <c r="E991" s="2" t="s">
        <v>57</v>
      </c>
    </row>
    <row r="992" spans="1:5" ht="13" x14ac:dyDescent="0.15">
      <c r="A992" s="2" t="s">
        <v>26</v>
      </c>
      <c r="B992" s="2">
        <v>56509</v>
      </c>
      <c r="C992" s="2" t="s">
        <v>44</v>
      </c>
      <c r="D992" s="2" t="s">
        <v>37</v>
      </c>
      <c r="E992" s="2" t="s">
        <v>57</v>
      </c>
    </row>
    <row r="993" spans="1:5" ht="13" x14ac:dyDescent="0.15">
      <c r="A993" s="2" t="s">
        <v>26</v>
      </c>
      <c r="B993" s="2">
        <v>50439</v>
      </c>
      <c r="C993" s="2" t="s">
        <v>44</v>
      </c>
      <c r="D993" s="2" t="s">
        <v>38</v>
      </c>
      <c r="E993" s="2" t="s">
        <v>57</v>
      </c>
    </row>
    <row r="994" spans="1:5" ht="13" x14ac:dyDescent="0.15">
      <c r="A994" s="2" t="s">
        <v>26</v>
      </c>
      <c r="B994" s="2">
        <v>61632</v>
      </c>
      <c r="C994" s="2" t="s">
        <v>45</v>
      </c>
      <c r="D994" s="2" t="s">
        <v>37</v>
      </c>
      <c r="E994" s="2" t="s">
        <v>57</v>
      </c>
    </row>
    <row r="995" spans="1:5" ht="13" x14ac:dyDescent="0.15">
      <c r="A995" s="2" t="s">
        <v>26</v>
      </c>
      <c r="B995" s="2">
        <v>57501</v>
      </c>
      <c r="C995" s="2" t="s">
        <v>45</v>
      </c>
      <c r="D995" s="2" t="s">
        <v>38</v>
      </c>
      <c r="E995" s="2" t="s">
        <v>57</v>
      </c>
    </row>
    <row r="996" spans="1:5" ht="13" x14ac:dyDescent="0.15">
      <c r="A996" s="2" t="s">
        <v>26</v>
      </c>
      <c r="B996" s="2">
        <v>57175</v>
      </c>
      <c r="C996" s="2" t="s">
        <v>46</v>
      </c>
      <c r="D996" s="2" t="s">
        <v>37</v>
      </c>
      <c r="E996" s="2" t="s">
        <v>57</v>
      </c>
    </row>
    <row r="997" spans="1:5" ht="13" x14ac:dyDescent="0.15">
      <c r="A997" s="2" t="s">
        <v>26</v>
      </c>
      <c r="B997" s="2">
        <v>53426</v>
      </c>
      <c r="C997" s="2" t="s">
        <v>46</v>
      </c>
      <c r="D997" s="2" t="s">
        <v>38</v>
      </c>
      <c r="E997" s="2" t="s">
        <v>57</v>
      </c>
    </row>
    <row r="998" spans="1:5" ht="13" x14ac:dyDescent="0.15">
      <c r="A998" s="2" t="s">
        <v>26</v>
      </c>
      <c r="B998" s="2">
        <v>49995</v>
      </c>
      <c r="C998" s="2" t="s">
        <v>47</v>
      </c>
      <c r="D998" s="2" t="s">
        <v>37</v>
      </c>
      <c r="E998" s="2" t="s">
        <v>57</v>
      </c>
    </row>
    <row r="999" spans="1:5" ht="13" x14ac:dyDescent="0.15">
      <c r="A999" s="2" t="s">
        <v>26</v>
      </c>
      <c r="B999" s="2">
        <v>46281</v>
      </c>
      <c r="C999" s="2" t="s">
        <v>47</v>
      </c>
      <c r="D999" s="2" t="s">
        <v>38</v>
      </c>
      <c r="E999" s="2" t="s">
        <v>57</v>
      </c>
    </row>
    <row r="1000" spans="1:5" ht="13" x14ac:dyDescent="0.15">
      <c r="A1000" s="2" t="s">
        <v>26</v>
      </c>
      <c r="B1000" s="2">
        <v>52835</v>
      </c>
      <c r="C1000" s="2" t="s">
        <v>48</v>
      </c>
      <c r="D1000" s="2" t="s">
        <v>37</v>
      </c>
      <c r="E1000" s="2" t="s">
        <v>57</v>
      </c>
    </row>
    <row r="1001" spans="1:5" ht="13" x14ac:dyDescent="0.15">
      <c r="A1001" s="2" t="s">
        <v>26</v>
      </c>
      <c r="B1001" s="2">
        <v>49479</v>
      </c>
      <c r="C1001" s="2" t="s">
        <v>48</v>
      </c>
      <c r="D1001" s="2" t="s">
        <v>38</v>
      </c>
      <c r="E1001" s="2" t="s">
        <v>57</v>
      </c>
    </row>
    <row r="1002" spans="1:5" ht="13" x14ac:dyDescent="0.15">
      <c r="A1002" s="2" t="s">
        <v>26</v>
      </c>
      <c r="B1002" s="2">
        <v>54415</v>
      </c>
      <c r="C1002" s="2" t="s">
        <v>49</v>
      </c>
      <c r="D1002" s="2" t="s">
        <v>37</v>
      </c>
      <c r="E1002" s="2" t="s">
        <v>57</v>
      </c>
    </row>
    <row r="1003" spans="1:5" ht="13" x14ac:dyDescent="0.15">
      <c r="A1003" s="2" t="s">
        <v>26</v>
      </c>
      <c r="B1003" s="2">
        <v>51195</v>
      </c>
      <c r="C1003" s="2" t="s">
        <v>49</v>
      </c>
      <c r="D1003" s="2" t="s">
        <v>38</v>
      </c>
      <c r="E1003" s="2" t="s">
        <v>57</v>
      </c>
    </row>
    <row r="1004" spans="1:5" ht="13" x14ac:dyDescent="0.15">
      <c r="A1004" s="2" t="s">
        <v>26</v>
      </c>
      <c r="B1004" s="2">
        <v>52175</v>
      </c>
      <c r="C1004" s="2" t="s">
        <v>50</v>
      </c>
      <c r="D1004" s="2" t="s">
        <v>37</v>
      </c>
      <c r="E1004" s="2" t="s">
        <v>57</v>
      </c>
    </row>
    <row r="1005" spans="1:5" ht="13" x14ac:dyDescent="0.15">
      <c r="A1005" s="2" t="s">
        <v>26</v>
      </c>
      <c r="B1005" s="2">
        <v>49697</v>
      </c>
      <c r="C1005" s="2" t="s">
        <v>50</v>
      </c>
      <c r="D1005" s="2" t="s">
        <v>38</v>
      </c>
      <c r="E1005" s="2" t="s">
        <v>57</v>
      </c>
    </row>
    <row r="1006" spans="1:5" ht="13" x14ac:dyDescent="0.15">
      <c r="A1006" s="2" t="s">
        <v>26</v>
      </c>
      <c r="B1006" s="2">
        <v>52617</v>
      </c>
      <c r="C1006" s="2" t="s">
        <v>51</v>
      </c>
      <c r="D1006" s="2" t="s">
        <v>37</v>
      </c>
      <c r="E1006" s="2" t="s">
        <v>57</v>
      </c>
    </row>
    <row r="1007" spans="1:5" ht="13" x14ac:dyDescent="0.15">
      <c r="A1007" s="2" t="s">
        <v>26</v>
      </c>
      <c r="B1007" s="2">
        <v>51455</v>
      </c>
      <c r="C1007" s="2" t="s">
        <v>51</v>
      </c>
      <c r="D1007" s="2" t="s">
        <v>38</v>
      </c>
      <c r="E1007" s="2" t="s">
        <v>57</v>
      </c>
    </row>
    <row r="1008" spans="1:5" ht="13" x14ac:dyDescent="0.15">
      <c r="A1008" s="2" t="s">
        <v>26</v>
      </c>
      <c r="B1008" s="2">
        <v>50951</v>
      </c>
      <c r="C1008" s="2" t="s">
        <v>52</v>
      </c>
      <c r="D1008" s="2" t="s">
        <v>37</v>
      </c>
      <c r="E1008" s="2" t="s">
        <v>57</v>
      </c>
    </row>
    <row r="1009" spans="1:5" ht="13" x14ac:dyDescent="0.15">
      <c r="A1009" s="2" t="s">
        <v>26</v>
      </c>
      <c r="B1009" s="2">
        <v>51893</v>
      </c>
      <c r="C1009" s="2" t="s">
        <v>52</v>
      </c>
      <c r="D1009" s="2" t="s">
        <v>38</v>
      </c>
      <c r="E1009" s="2" t="s">
        <v>57</v>
      </c>
    </row>
    <row r="1010" spans="1:5" ht="13" x14ac:dyDescent="0.15">
      <c r="A1010" s="2" t="s">
        <v>26</v>
      </c>
      <c r="B1010" s="2">
        <v>43053</v>
      </c>
      <c r="C1010" s="2" t="s">
        <v>53</v>
      </c>
      <c r="D1010" s="2" t="s">
        <v>37</v>
      </c>
      <c r="E1010" s="2" t="s">
        <v>57</v>
      </c>
    </row>
    <row r="1011" spans="1:5" ht="13" x14ac:dyDescent="0.15">
      <c r="A1011" s="2" t="s">
        <v>26</v>
      </c>
      <c r="B1011" s="2">
        <v>47837</v>
      </c>
      <c r="C1011" s="2" t="s">
        <v>53</v>
      </c>
      <c r="D1011" s="2" t="s">
        <v>38</v>
      </c>
      <c r="E1011" s="2" t="s">
        <v>57</v>
      </c>
    </row>
    <row r="1012" spans="1:5" ht="13" x14ac:dyDescent="0.15">
      <c r="A1012" s="2" t="s">
        <v>26</v>
      </c>
      <c r="B1012" s="2">
        <v>35866</v>
      </c>
      <c r="C1012" s="2" t="s">
        <v>54</v>
      </c>
      <c r="D1012" s="2" t="s">
        <v>37</v>
      </c>
      <c r="E1012" s="2" t="s">
        <v>57</v>
      </c>
    </row>
    <row r="1013" spans="1:5" ht="13" x14ac:dyDescent="0.15">
      <c r="A1013" s="2" t="s">
        <v>26</v>
      </c>
      <c r="B1013" s="2">
        <v>41572</v>
      </c>
      <c r="C1013" s="2" t="s">
        <v>54</v>
      </c>
      <c r="D1013" s="2" t="s">
        <v>38</v>
      </c>
      <c r="E1013" s="2" t="s">
        <v>57</v>
      </c>
    </row>
    <row r="1014" spans="1:5" ht="13" x14ac:dyDescent="0.15">
      <c r="A1014" s="2" t="s">
        <v>26</v>
      </c>
      <c r="B1014" s="2">
        <v>31324</v>
      </c>
      <c r="C1014" s="2" t="s">
        <v>55</v>
      </c>
      <c r="D1014" s="2" t="s">
        <v>37</v>
      </c>
      <c r="E1014" s="2" t="s">
        <v>57</v>
      </c>
    </row>
    <row r="1015" spans="1:5" ht="13" x14ac:dyDescent="0.15">
      <c r="A1015" s="2" t="s">
        <v>26</v>
      </c>
      <c r="B1015" s="2">
        <v>35913</v>
      </c>
      <c r="C1015" s="2" t="s">
        <v>55</v>
      </c>
      <c r="D1015" s="2" t="s">
        <v>38</v>
      </c>
      <c r="E1015" s="2" t="s">
        <v>57</v>
      </c>
    </row>
    <row r="1016" spans="1:5" ht="13" x14ac:dyDescent="0.15">
      <c r="A1016" s="2" t="s">
        <v>27</v>
      </c>
      <c r="B1016" s="2">
        <v>62814</v>
      </c>
      <c r="C1016" s="2" t="s">
        <v>42</v>
      </c>
      <c r="D1016" s="2" t="s">
        <v>37</v>
      </c>
      <c r="E1016" s="2" t="s">
        <v>43</v>
      </c>
    </row>
    <row r="1017" spans="1:5" ht="13" x14ac:dyDescent="0.15">
      <c r="A1017" s="2" t="s">
        <v>27</v>
      </c>
      <c r="B1017" s="2">
        <v>58883</v>
      </c>
      <c r="C1017" s="2" t="s">
        <v>42</v>
      </c>
      <c r="D1017" s="2" t="s">
        <v>38</v>
      </c>
      <c r="E1017" s="2" t="s">
        <v>43</v>
      </c>
    </row>
    <row r="1018" spans="1:5" ht="13" x14ac:dyDescent="0.15">
      <c r="A1018" s="2" t="s">
        <v>27</v>
      </c>
      <c r="B1018" s="2">
        <v>62481</v>
      </c>
      <c r="C1018" s="2" t="s">
        <v>44</v>
      </c>
      <c r="D1018" s="2" t="s">
        <v>37</v>
      </c>
      <c r="E1018" s="2" t="s">
        <v>43</v>
      </c>
    </row>
    <row r="1019" spans="1:5" ht="13" x14ac:dyDescent="0.15">
      <c r="A1019" s="2" t="s">
        <v>27</v>
      </c>
      <c r="B1019" s="2">
        <v>57810</v>
      </c>
      <c r="C1019" s="2" t="s">
        <v>44</v>
      </c>
      <c r="D1019" s="2" t="s">
        <v>38</v>
      </c>
      <c r="E1019" s="2" t="s">
        <v>43</v>
      </c>
    </row>
    <row r="1020" spans="1:5" ht="13" x14ac:dyDescent="0.15">
      <c r="A1020" s="2" t="s">
        <v>27</v>
      </c>
      <c r="B1020" s="2">
        <v>49111</v>
      </c>
      <c r="C1020" s="2" t="s">
        <v>45</v>
      </c>
      <c r="D1020" s="2" t="s">
        <v>37</v>
      </c>
      <c r="E1020" s="2" t="s">
        <v>43</v>
      </c>
    </row>
    <row r="1021" spans="1:5" ht="13" x14ac:dyDescent="0.15">
      <c r="A1021" s="2" t="s">
        <v>27</v>
      </c>
      <c r="B1021" s="2">
        <v>43992</v>
      </c>
      <c r="C1021" s="2" t="s">
        <v>45</v>
      </c>
      <c r="D1021" s="2" t="s">
        <v>38</v>
      </c>
      <c r="E1021" s="2" t="s">
        <v>43</v>
      </c>
    </row>
    <row r="1022" spans="1:5" ht="13" x14ac:dyDescent="0.15">
      <c r="A1022" s="2" t="s">
        <v>27</v>
      </c>
      <c r="B1022" s="2">
        <v>57535</v>
      </c>
      <c r="C1022" s="2" t="s">
        <v>46</v>
      </c>
      <c r="D1022" s="2" t="s">
        <v>37</v>
      </c>
      <c r="E1022" s="2" t="s">
        <v>43</v>
      </c>
    </row>
    <row r="1023" spans="1:5" ht="13" x14ac:dyDescent="0.15">
      <c r="A1023" s="2" t="s">
        <v>27</v>
      </c>
      <c r="B1023" s="2">
        <v>53423</v>
      </c>
      <c r="C1023" s="2" t="s">
        <v>46</v>
      </c>
      <c r="D1023" s="2" t="s">
        <v>38</v>
      </c>
      <c r="E1023" s="2" t="s">
        <v>43</v>
      </c>
    </row>
    <row r="1024" spans="1:5" ht="13" x14ac:dyDescent="0.15">
      <c r="A1024" s="2" t="s">
        <v>27</v>
      </c>
      <c r="B1024" s="2">
        <v>60096</v>
      </c>
      <c r="C1024" s="2" t="s">
        <v>47</v>
      </c>
      <c r="D1024" s="2" t="s">
        <v>37</v>
      </c>
      <c r="E1024" s="2" t="s">
        <v>43</v>
      </c>
    </row>
    <row r="1025" spans="1:5" ht="13" x14ac:dyDescent="0.15">
      <c r="A1025" s="2" t="s">
        <v>27</v>
      </c>
      <c r="B1025" s="2">
        <v>56082</v>
      </c>
      <c r="C1025" s="2" t="s">
        <v>47</v>
      </c>
      <c r="D1025" s="2" t="s">
        <v>38</v>
      </c>
      <c r="E1025" s="2" t="s">
        <v>43</v>
      </c>
    </row>
    <row r="1026" spans="1:5" ht="13" x14ac:dyDescent="0.15">
      <c r="A1026" s="2" t="s">
        <v>27</v>
      </c>
      <c r="B1026" s="2">
        <v>58588</v>
      </c>
      <c r="C1026" s="2" t="s">
        <v>48</v>
      </c>
      <c r="D1026" s="2" t="s">
        <v>37</v>
      </c>
      <c r="E1026" s="2" t="s">
        <v>43</v>
      </c>
    </row>
    <row r="1027" spans="1:5" ht="13" x14ac:dyDescent="0.15">
      <c r="A1027" s="2" t="s">
        <v>27</v>
      </c>
      <c r="B1027" s="2">
        <v>55068</v>
      </c>
      <c r="C1027" s="2" t="s">
        <v>48</v>
      </c>
      <c r="D1027" s="2" t="s">
        <v>38</v>
      </c>
      <c r="E1027" s="2" t="s">
        <v>43</v>
      </c>
    </row>
    <row r="1028" spans="1:5" ht="13" x14ac:dyDescent="0.15">
      <c r="A1028" s="2" t="s">
        <v>27</v>
      </c>
      <c r="B1028" s="2">
        <v>61850</v>
      </c>
      <c r="C1028" s="2" t="s">
        <v>49</v>
      </c>
      <c r="D1028" s="2" t="s">
        <v>37</v>
      </c>
      <c r="E1028" s="2" t="s">
        <v>43</v>
      </c>
    </row>
    <row r="1029" spans="1:5" ht="13" x14ac:dyDescent="0.15">
      <c r="A1029" s="2" t="s">
        <v>27</v>
      </c>
      <c r="B1029" s="2">
        <v>57745</v>
      </c>
      <c r="C1029" s="2" t="s">
        <v>49</v>
      </c>
      <c r="D1029" s="2" t="s">
        <v>38</v>
      </c>
      <c r="E1029" s="2" t="s">
        <v>43</v>
      </c>
    </row>
    <row r="1030" spans="1:5" ht="13" x14ac:dyDescent="0.15">
      <c r="A1030" s="2" t="s">
        <v>27</v>
      </c>
      <c r="B1030" s="2">
        <v>66974</v>
      </c>
      <c r="C1030" s="2" t="s">
        <v>50</v>
      </c>
      <c r="D1030" s="2" t="s">
        <v>37</v>
      </c>
      <c r="E1030" s="2" t="s">
        <v>43</v>
      </c>
    </row>
    <row r="1031" spans="1:5" ht="13" x14ac:dyDescent="0.15">
      <c r="A1031" s="2" t="s">
        <v>27</v>
      </c>
      <c r="B1031" s="2">
        <v>62603</v>
      </c>
      <c r="C1031" s="2" t="s">
        <v>50</v>
      </c>
      <c r="D1031" s="2" t="s">
        <v>38</v>
      </c>
      <c r="E1031" s="2" t="s">
        <v>43</v>
      </c>
    </row>
    <row r="1032" spans="1:5" ht="13" x14ac:dyDescent="0.15">
      <c r="A1032" s="2" t="s">
        <v>27</v>
      </c>
      <c r="B1032" s="2">
        <v>55224</v>
      </c>
      <c r="C1032" s="2" t="s">
        <v>51</v>
      </c>
      <c r="D1032" s="2" t="s">
        <v>37</v>
      </c>
      <c r="E1032" s="2" t="s">
        <v>43</v>
      </c>
    </row>
    <row r="1033" spans="1:5" ht="13" x14ac:dyDescent="0.15">
      <c r="A1033" s="2" t="s">
        <v>27</v>
      </c>
      <c r="B1033" s="2">
        <v>55953</v>
      </c>
      <c r="C1033" s="2" t="s">
        <v>51</v>
      </c>
      <c r="D1033" s="2" t="s">
        <v>38</v>
      </c>
      <c r="E1033" s="2" t="s">
        <v>43</v>
      </c>
    </row>
    <row r="1034" spans="1:5" ht="13" x14ac:dyDescent="0.15">
      <c r="A1034" s="2" t="s">
        <v>27</v>
      </c>
      <c r="B1034" s="2">
        <v>45659</v>
      </c>
      <c r="C1034" s="2" t="s">
        <v>52</v>
      </c>
      <c r="D1034" s="2" t="s">
        <v>37</v>
      </c>
      <c r="E1034" s="2" t="s">
        <v>43</v>
      </c>
    </row>
    <row r="1035" spans="1:5" ht="13" x14ac:dyDescent="0.15">
      <c r="A1035" s="2" t="s">
        <v>27</v>
      </c>
      <c r="B1035" s="2">
        <v>49282</v>
      </c>
      <c r="C1035" s="2" t="s">
        <v>52</v>
      </c>
      <c r="D1035" s="2" t="s">
        <v>38</v>
      </c>
      <c r="E1035" s="2" t="s">
        <v>43</v>
      </c>
    </row>
    <row r="1036" spans="1:5" ht="13" x14ac:dyDescent="0.15">
      <c r="A1036" s="2" t="s">
        <v>27</v>
      </c>
      <c r="B1036" s="2">
        <v>38120</v>
      </c>
      <c r="C1036" s="2" t="s">
        <v>53</v>
      </c>
      <c r="D1036" s="2" t="s">
        <v>37</v>
      </c>
      <c r="E1036" s="2" t="s">
        <v>43</v>
      </c>
    </row>
    <row r="1037" spans="1:5" ht="13" x14ac:dyDescent="0.15">
      <c r="A1037" s="2" t="s">
        <v>27</v>
      </c>
      <c r="B1037" s="2">
        <v>42881</v>
      </c>
      <c r="C1037" s="2" t="s">
        <v>53</v>
      </c>
      <c r="D1037" s="2" t="s">
        <v>38</v>
      </c>
      <c r="E1037" s="2" t="s">
        <v>43</v>
      </c>
    </row>
    <row r="1038" spans="1:5" ht="13" x14ac:dyDescent="0.15">
      <c r="A1038" s="2" t="s">
        <v>27</v>
      </c>
      <c r="B1038" s="2">
        <v>35239</v>
      </c>
      <c r="C1038" s="2" t="s">
        <v>54</v>
      </c>
      <c r="D1038" s="2" t="s">
        <v>37</v>
      </c>
      <c r="E1038" s="2" t="s">
        <v>43</v>
      </c>
    </row>
    <row r="1039" spans="1:5" ht="13" x14ac:dyDescent="0.15">
      <c r="A1039" s="2" t="s">
        <v>27</v>
      </c>
      <c r="B1039" s="2">
        <v>39946</v>
      </c>
      <c r="C1039" s="2" t="s">
        <v>54</v>
      </c>
      <c r="D1039" s="2" t="s">
        <v>38</v>
      </c>
      <c r="E1039" s="2" t="s">
        <v>43</v>
      </c>
    </row>
    <row r="1040" spans="1:5" ht="13" x14ac:dyDescent="0.15">
      <c r="A1040" s="2" t="s">
        <v>27</v>
      </c>
      <c r="B1040" s="2">
        <v>28427</v>
      </c>
      <c r="C1040" s="2" t="s">
        <v>55</v>
      </c>
      <c r="D1040" s="2" t="s">
        <v>37</v>
      </c>
      <c r="E1040" s="2" t="s">
        <v>43</v>
      </c>
    </row>
    <row r="1041" spans="1:5" ht="13" x14ac:dyDescent="0.15">
      <c r="A1041" s="2" t="s">
        <v>27</v>
      </c>
      <c r="B1041" s="2">
        <v>33646</v>
      </c>
      <c r="C1041" s="2" t="s">
        <v>55</v>
      </c>
      <c r="D1041" s="2" t="s">
        <v>38</v>
      </c>
      <c r="E1041" s="2" t="s">
        <v>43</v>
      </c>
    </row>
    <row r="1042" spans="1:5" ht="13" x14ac:dyDescent="0.15">
      <c r="A1042" s="2" t="s">
        <v>27</v>
      </c>
      <c r="B1042" s="2">
        <v>55908</v>
      </c>
      <c r="C1042" s="2" t="s">
        <v>42</v>
      </c>
      <c r="D1042" s="2" t="s">
        <v>37</v>
      </c>
      <c r="E1042" s="2" t="s">
        <v>56</v>
      </c>
    </row>
    <row r="1043" spans="1:5" ht="13" x14ac:dyDescent="0.15">
      <c r="A1043" s="2" t="s">
        <v>27</v>
      </c>
      <c r="B1043" s="2">
        <v>50608</v>
      </c>
      <c r="C1043" s="2" t="s">
        <v>42</v>
      </c>
      <c r="D1043" s="2" t="s">
        <v>38</v>
      </c>
      <c r="E1043" s="2" t="s">
        <v>56</v>
      </c>
    </row>
    <row r="1044" spans="1:5" ht="13" x14ac:dyDescent="0.15">
      <c r="A1044" s="2" t="s">
        <v>27</v>
      </c>
      <c r="B1044" s="2">
        <v>63972</v>
      </c>
      <c r="C1044" s="2" t="s">
        <v>44</v>
      </c>
      <c r="D1044" s="2" t="s">
        <v>37</v>
      </c>
      <c r="E1044" s="2" t="s">
        <v>56</v>
      </c>
    </row>
    <row r="1045" spans="1:5" ht="13" x14ac:dyDescent="0.15">
      <c r="A1045" s="2" t="s">
        <v>27</v>
      </c>
      <c r="B1045" s="2">
        <v>59420</v>
      </c>
      <c r="C1045" s="2" t="s">
        <v>44</v>
      </c>
      <c r="D1045" s="2" t="s">
        <v>38</v>
      </c>
      <c r="E1045" s="2" t="s">
        <v>56</v>
      </c>
    </row>
    <row r="1046" spans="1:5" ht="13" x14ac:dyDescent="0.15">
      <c r="A1046" s="2" t="s">
        <v>27</v>
      </c>
      <c r="B1046" s="2">
        <v>61049</v>
      </c>
      <c r="C1046" s="2" t="s">
        <v>45</v>
      </c>
      <c r="D1046" s="2" t="s">
        <v>37</v>
      </c>
      <c r="E1046" s="2" t="s">
        <v>56</v>
      </c>
    </row>
    <row r="1047" spans="1:5" ht="13" x14ac:dyDescent="0.15">
      <c r="A1047" s="2" t="s">
        <v>27</v>
      </c>
      <c r="B1047" s="2">
        <v>56807</v>
      </c>
      <c r="C1047" s="2" t="s">
        <v>45</v>
      </c>
      <c r="D1047" s="2" t="s">
        <v>38</v>
      </c>
      <c r="E1047" s="2" t="s">
        <v>56</v>
      </c>
    </row>
    <row r="1048" spans="1:5" ht="13" x14ac:dyDescent="0.15">
      <c r="A1048" s="2" t="s">
        <v>27</v>
      </c>
      <c r="B1048" s="2">
        <v>49091</v>
      </c>
      <c r="C1048" s="2" t="s">
        <v>46</v>
      </c>
      <c r="D1048" s="2" t="s">
        <v>37</v>
      </c>
      <c r="E1048" s="2" t="s">
        <v>56</v>
      </c>
    </row>
    <row r="1049" spans="1:5" ht="13" x14ac:dyDescent="0.15">
      <c r="A1049" s="2" t="s">
        <v>27</v>
      </c>
      <c r="B1049" s="2">
        <v>43980</v>
      </c>
      <c r="C1049" s="2" t="s">
        <v>46</v>
      </c>
      <c r="D1049" s="2" t="s">
        <v>38</v>
      </c>
      <c r="E1049" s="2" t="s">
        <v>56</v>
      </c>
    </row>
    <row r="1050" spans="1:5" ht="13" x14ac:dyDescent="0.15">
      <c r="A1050" s="2" t="s">
        <v>27</v>
      </c>
      <c r="B1050" s="2">
        <v>56609</v>
      </c>
      <c r="C1050" s="2" t="s">
        <v>47</v>
      </c>
      <c r="D1050" s="2" t="s">
        <v>37</v>
      </c>
      <c r="E1050" s="2" t="s">
        <v>56</v>
      </c>
    </row>
    <row r="1051" spans="1:5" ht="13" x14ac:dyDescent="0.15">
      <c r="A1051" s="2" t="s">
        <v>27</v>
      </c>
      <c r="B1051" s="2">
        <v>53114</v>
      </c>
      <c r="C1051" s="2" t="s">
        <v>47</v>
      </c>
      <c r="D1051" s="2" t="s">
        <v>38</v>
      </c>
      <c r="E1051" s="2" t="s">
        <v>56</v>
      </c>
    </row>
    <row r="1052" spans="1:5" ht="13" x14ac:dyDescent="0.15">
      <c r="A1052" s="2" t="s">
        <v>27</v>
      </c>
      <c r="B1052" s="2">
        <v>58987</v>
      </c>
      <c r="C1052" s="2" t="s">
        <v>48</v>
      </c>
      <c r="D1052" s="2" t="s">
        <v>37</v>
      </c>
      <c r="E1052" s="2" t="s">
        <v>56</v>
      </c>
    </row>
    <row r="1053" spans="1:5" ht="13" x14ac:dyDescent="0.15">
      <c r="A1053" s="2" t="s">
        <v>27</v>
      </c>
      <c r="B1053" s="2">
        <v>55777</v>
      </c>
      <c r="C1053" s="2" t="s">
        <v>48</v>
      </c>
      <c r="D1053" s="2" t="s">
        <v>38</v>
      </c>
      <c r="E1053" s="2" t="s">
        <v>56</v>
      </c>
    </row>
    <row r="1054" spans="1:5" ht="13" x14ac:dyDescent="0.15">
      <c r="A1054" s="2" t="s">
        <v>27</v>
      </c>
      <c r="B1054" s="2">
        <v>56479</v>
      </c>
      <c r="C1054" s="2" t="s">
        <v>49</v>
      </c>
      <c r="D1054" s="2" t="s">
        <v>37</v>
      </c>
      <c r="E1054" s="2" t="s">
        <v>56</v>
      </c>
    </row>
    <row r="1055" spans="1:5" ht="13" x14ac:dyDescent="0.15">
      <c r="A1055" s="2" t="s">
        <v>27</v>
      </c>
      <c r="B1055" s="2">
        <v>54382</v>
      </c>
      <c r="C1055" s="2" t="s">
        <v>49</v>
      </c>
      <c r="D1055" s="2" t="s">
        <v>38</v>
      </c>
      <c r="E1055" s="2" t="s">
        <v>56</v>
      </c>
    </row>
    <row r="1056" spans="1:5" ht="13" x14ac:dyDescent="0.15">
      <c r="A1056" s="2" t="s">
        <v>27</v>
      </c>
      <c r="B1056" s="2">
        <v>62041</v>
      </c>
      <c r="C1056" s="2" t="s">
        <v>50</v>
      </c>
      <c r="D1056" s="2" t="s">
        <v>37</v>
      </c>
      <c r="E1056" s="2" t="s">
        <v>56</v>
      </c>
    </row>
    <row r="1057" spans="1:5" ht="13" x14ac:dyDescent="0.15">
      <c r="A1057" s="2" t="s">
        <v>27</v>
      </c>
      <c r="B1057" s="2">
        <v>57124</v>
      </c>
      <c r="C1057" s="2" t="s">
        <v>50</v>
      </c>
      <c r="D1057" s="2" t="s">
        <v>38</v>
      </c>
      <c r="E1057" s="2" t="s">
        <v>56</v>
      </c>
    </row>
    <row r="1058" spans="1:5" ht="13" x14ac:dyDescent="0.15">
      <c r="A1058" s="2" t="s">
        <v>27</v>
      </c>
      <c r="B1058" s="2">
        <v>60706</v>
      </c>
      <c r="C1058" s="2" t="s">
        <v>51</v>
      </c>
      <c r="D1058" s="2" t="s">
        <v>37</v>
      </c>
      <c r="E1058" s="2" t="s">
        <v>56</v>
      </c>
    </row>
    <row r="1059" spans="1:5" ht="13" x14ac:dyDescent="0.15">
      <c r="A1059" s="2" t="s">
        <v>27</v>
      </c>
      <c r="B1059" s="2">
        <v>60482</v>
      </c>
      <c r="C1059" s="2" t="s">
        <v>51</v>
      </c>
      <c r="D1059" s="2" t="s">
        <v>38</v>
      </c>
      <c r="E1059" s="2" t="s">
        <v>56</v>
      </c>
    </row>
    <row r="1060" spans="1:5" ht="13" x14ac:dyDescent="0.15">
      <c r="A1060" s="2" t="s">
        <v>27</v>
      </c>
      <c r="B1060" s="2">
        <v>49842</v>
      </c>
      <c r="C1060" s="2" t="s">
        <v>52</v>
      </c>
      <c r="D1060" s="2" t="s">
        <v>37</v>
      </c>
      <c r="E1060" s="2" t="s">
        <v>56</v>
      </c>
    </row>
    <row r="1061" spans="1:5" ht="13" x14ac:dyDescent="0.15">
      <c r="A1061" s="2" t="s">
        <v>27</v>
      </c>
      <c r="B1061" s="2">
        <v>53277</v>
      </c>
      <c r="C1061" s="2" t="s">
        <v>52</v>
      </c>
      <c r="D1061" s="2" t="s">
        <v>38</v>
      </c>
      <c r="E1061" s="2" t="s">
        <v>56</v>
      </c>
    </row>
    <row r="1062" spans="1:5" ht="13" x14ac:dyDescent="0.15">
      <c r="A1062" s="2" t="s">
        <v>27</v>
      </c>
      <c r="B1062" s="2">
        <v>41243</v>
      </c>
      <c r="C1062" s="2" t="s">
        <v>53</v>
      </c>
      <c r="D1062" s="2" t="s">
        <v>37</v>
      </c>
      <c r="E1062" s="2" t="s">
        <v>56</v>
      </c>
    </row>
    <row r="1063" spans="1:5" ht="13" x14ac:dyDescent="0.15">
      <c r="A1063" s="2" t="s">
        <v>27</v>
      </c>
      <c r="B1063" s="2">
        <v>46566</v>
      </c>
      <c r="C1063" s="2" t="s">
        <v>53</v>
      </c>
      <c r="D1063" s="2" t="s">
        <v>38</v>
      </c>
      <c r="E1063" s="2" t="s">
        <v>56</v>
      </c>
    </row>
    <row r="1064" spans="1:5" ht="13" x14ac:dyDescent="0.15">
      <c r="A1064" s="2" t="s">
        <v>27</v>
      </c>
      <c r="B1064" s="2">
        <v>37107</v>
      </c>
      <c r="C1064" s="2" t="s">
        <v>54</v>
      </c>
      <c r="D1064" s="2" t="s">
        <v>37</v>
      </c>
      <c r="E1064" s="2" t="s">
        <v>56</v>
      </c>
    </row>
    <row r="1065" spans="1:5" ht="13" x14ac:dyDescent="0.15">
      <c r="A1065" s="2" t="s">
        <v>27</v>
      </c>
      <c r="B1065" s="2">
        <v>41735</v>
      </c>
      <c r="C1065" s="2" t="s">
        <v>54</v>
      </c>
      <c r="D1065" s="2" t="s">
        <v>38</v>
      </c>
      <c r="E1065" s="2" t="s">
        <v>56</v>
      </c>
    </row>
    <row r="1066" spans="1:5" ht="13" x14ac:dyDescent="0.15">
      <c r="A1066" s="2" t="s">
        <v>27</v>
      </c>
      <c r="B1066" s="2">
        <v>31640</v>
      </c>
      <c r="C1066" s="2" t="s">
        <v>55</v>
      </c>
      <c r="D1066" s="2" t="s">
        <v>37</v>
      </c>
      <c r="E1066" s="2" t="s">
        <v>56</v>
      </c>
    </row>
    <row r="1067" spans="1:5" ht="13" x14ac:dyDescent="0.15">
      <c r="A1067" s="2" t="s">
        <v>27</v>
      </c>
      <c r="B1067" s="2">
        <v>37118</v>
      </c>
      <c r="C1067" s="2" t="s">
        <v>55</v>
      </c>
      <c r="D1067" s="2" t="s">
        <v>38</v>
      </c>
      <c r="E1067" s="2" t="s">
        <v>56</v>
      </c>
    </row>
    <row r="1068" spans="1:5" ht="13" x14ac:dyDescent="0.15">
      <c r="A1068" s="2" t="s">
        <v>27</v>
      </c>
      <c r="B1068" s="2">
        <v>52226</v>
      </c>
      <c r="C1068" s="2" t="s">
        <v>42</v>
      </c>
      <c r="D1068" s="2" t="s">
        <v>37</v>
      </c>
      <c r="E1068" s="2" t="s">
        <v>57</v>
      </c>
    </row>
    <row r="1069" spans="1:5" ht="13" x14ac:dyDescent="0.15">
      <c r="A1069" s="2" t="s">
        <v>27</v>
      </c>
      <c r="B1069" s="2">
        <v>48619</v>
      </c>
      <c r="C1069" s="2" t="s">
        <v>42</v>
      </c>
      <c r="D1069" s="2" t="s">
        <v>38</v>
      </c>
      <c r="E1069" s="2" t="s">
        <v>57</v>
      </c>
    </row>
    <row r="1070" spans="1:5" ht="13" x14ac:dyDescent="0.15">
      <c r="A1070" s="2" t="s">
        <v>27</v>
      </c>
      <c r="B1070" s="2">
        <v>54241</v>
      </c>
      <c r="C1070" s="2" t="s">
        <v>44</v>
      </c>
      <c r="D1070" s="2" t="s">
        <v>37</v>
      </c>
      <c r="E1070" s="2" t="s">
        <v>57</v>
      </c>
    </row>
    <row r="1071" spans="1:5" ht="13" x14ac:dyDescent="0.15">
      <c r="A1071" s="2" t="s">
        <v>27</v>
      </c>
      <c r="B1071" s="2">
        <v>48361</v>
      </c>
      <c r="C1071" s="2" t="s">
        <v>44</v>
      </c>
      <c r="D1071" s="2" t="s">
        <v>38</v>
      </c>
      <c r="E1071" s="2" t="s">
        <v>57</v>
      </c>
    </row>
    <row r="1072" spans="1:5" ht="13" x14ac:dyDescent="0.15">
      <c r="A1072" s="2" t="s">
        <v>27</v>
      </c>
      <c r="B1072" s="2">
        <v>58877</v>
      </c>
      <c r="C1072" s="2" t="s">
        <v>45</v>
      </c>
      <c r="D1072" s="2" t="s">
        <v>37</v>
      </c>
      <c r="E1072" s="2" t="s">
        <v>57</v>
      </c>
    </row>
    <row r="1073" spans="1:5" ht="13" x14ac:dyDescent="0.15">
      <c r="A1073" s="2" t="s">
        <v>27</v>
      </c>
      <c r="B1073" s="2">
        <v>55427</v>
      </c>
      <c r="C1073" s="2" t="s">
        <v>45</v>
      </c>
      <c r="D1073" s="2" t="s">
        <v>38</v>
      </c>
      <c r="E1073" s="2" t="s">
        <v>57</v>
      </c>
    </row>
    <row r="1074" spans="1:5" ht="13" x14ac:dyDescent="0.15">
      <c r="A1074" s="2" t="s">
        <v>27</v>
      </c>
      <c r="B1074" s="2">
        <v>56903</v>
      </c>
      <c r="C1074" s="2" t="s">
        <v>46</v>
      </c>
      <c r="D1074" s="2" t="s">
        <v>37</v>
      </c>
      <c r="E1074" s="2" t="s">
        <v>57</v>
      </c>
    </row>
    <row r="1075" spans="1:5" ht="13" x14ac:dyDescent="0.15">
      <c r="A1075" s="2" t="s">
        <v>27</v>
      </c>
      <c r="B1075" s="2">
        <v>53596</v>
      </c>
      <c r="C1075" s="2" t="s">
        <v>46</v>
      </c>
      <c r="D1075" s="2" t="s">
        <v>38</v>
      </c>
      <c r="E1075" s="2" t="s">
        <v>57</v>
      </c>
    </row>
    <row r="1076" spans="1:5" ht="13" x14ac:dyDescent="0.15">
      <c r="A1076" s="2" t="s">
        <v>27</v>
      </c>
      <c r="B1076" s="2">
        <v>45764</v>
      </c>
      <c r="C1076" s="2" t="s">
        <v>47</v>
      </c>
      <c r="D1076" s="2" t="s">
        <v>37</v>
      </c>
      <c r="E1076" s="2" t="s">
        <v>57</v>
      </c>
    </row>
    <row r="1077" spans="1:5" ht="13" x14ac:dyDescent="0.15">
      <c r="A1077" s="2" t="s">
        <v>27</v>
      </c>
      <c r="B1077" s="2">
        <v>41659</v>
      </c>
      <c r="C1077" s="2" t="s">
        <v>47</v>
      </c>
      <c r="D1077" s="2" t="s">
        <v>38</v>
      </c>
      <c r="E1077" s="2" t="s">
        <v>57</v>
      </c>
    </row>
    <row r="1078" spans="1:5" ht="13" x14ac:dyDescent="0.15">
      <c r="A1078" s="2" t="s">
        <v>27</v>
      </c>
      <c r="B1078" s="2">
        <v>53134</v>
      </c>
      <c r="C1078" s="2" t="s">
        <v>48</v>
      </c>
      <c r="D1078" s="2" t="s">
        <v>37</v>
      </c>
      <c r="E1078" s="2" t="s">
        <v>57</v>
      </c>
    </row>
    <row r="1079" spans="1:5" ht="13" x14ac:dyDescent="0.15">
      <c r="A1079" s="2" t="s">
        <v>27</v>
      </c>
      <c r="B1079" s="2">
        <v>50610</v>
      </c>
      <c r="C1079" s="2" t="s">
        <v>48</v>
      </c>
      <c r="D1079" s="2" t="s">
        <v>38</v>
      </c>
      <c r="E1079" s="2" t="s">
        <v>57</v>
      </c>
    </row>
    <row r="1080" spans="1:5" ht="13" x14ac:dyDescent="0.15">
      <c r="A1080" s="2" t="s">
        <v>27</v>
      </c>
      <c r="B1080" s="2">
        <v>54812</v>
      </c>
      <c r="C1080" s="2" t="s">
        <v>49</v>
      </c>
      <c r="D1080" s="2" t="s">
        <v>37</v>
      </c>
      <c r="E1080" s="2" t="s">
        <v>57</v>
      </c>
    </row>
    <row r="1081" spans="1:5" ht="13" x14ac:dyDescent="0.15">
      <c r="A1081" s="2" t="s">
        <v>27</v>
      </c>
      <c r="B1081" s="2">
        <v>53114</v>
      </c>
      <c r="C1081" s="2" t="s">
        <v>49</v>
      </c>
      <c r="D1081" s="2" t="s">
        <v>38</v>
      </c>
      <c r="E1081" s="2" t="s">
        <v>57</v>
      </c>
    </row>
    <row r="1082" spans="1:5" ht="13" x14ac:dyDescent="0.15">
      <c r="A1082" s="2" t="s">
        <v>27</v>
      </c>
      <c r="B1082" s="2">
        <v>51225</v>
      </c>
      <c r="C1082" s="2" t="s">
        <v>50</v>
      </c>
      <c r="D1082" s="2" t="s">
        <v>37</v>
      </c>
      <c r="E1082" s="2" t="s">
        <v>57</v>
      </c>
    </row>
    <row r="1083" spans="1:5" ht="13" x14ac:dyDescent="0.15">
      <c r="A1083" s="2" t="s">
        <v>27</v>
      </c>
      <c r="B1083" s="2">
        <v>49092</v>
      </c>
      <c r="C1083" s="2" t="s">
        <v>50</v>
      </c>
      <c r="D1083" s="2" t="s">
        <v>38</v>
      </c>
      <c r="E1083" s="2" t="s">
        <v>57</v>
      </c>
    </row>
    <row r="1084" spans="1:5" ht="13" x14ac:dyDescent="0.15">
      <c r="A1084" s="2" t="s">
        <v>27</v>
      </c>
      <c r="B1084" s="2">
        <v>54933</v>
      </c>
      <c r="C1084" s="2" t="s">
        <v>51</v>
      </c>
      <c r="D1084" s="2" t="s">
        <v>37</v>
      </c>
      <c r="E1084" s="2" t="s">
        <v>57</v>
      </c>
    </row>
    <row r="1085" spans="1:5" ht="13" x14ac:dyDescent="0.15">
      <c r="A1085" s="2" t="s">
        <v>27</v>
      </c>
      <c r="B1085" s="2">
        <v>53148</v>
      </c>
      <c r="C1085" s="2" t="s">
        <v>51</v>
      </c>
      <c r="D1085" s="2" t="s">
        <v>38</v>
      </c>
      <c r="E1085" s="2" t="s">
        <v>57</v>
      </c>
    </row>
    <row r="1086" spans="1:5" ht="13" x14ac:dyDescent="0.15">
      <c r="A1086" s="2" t="s">
        <v>27</v>
      </c>
      <c r="B1086" s="2">
        <v>53244</v>
      </c>
      <c r="C1086" s="2" t="s">
        <v>52</v>
      </c>
      <c r="D1086" s="2" t="s">
        <v>37</v>
      </c>
      <c r="E1086" s="2" t="s">
        <v>57</v>
      </c>
    </row>
    <row r="1087" spans="1:5" ht="13" x14ac:dyDescent="0.15">
      <c r="A1087" s="2" t="s">
        <v>27</v>
      </c>
      <c r="B1087" s="2">
        <v>55570</v>
      </c>
      <c r="C1087" s="2" t="s">
        <v>52</v>
      </c>
      <c r="D1087" s="2" t="s">
        <v>38</v>
      </c>
      <c r="E1087" s="2" t="s">
        <v>57</v>
      </c>
    </row>
    <row r="1088" spans="1:5" ht="13" x14ac:dyDescent="0.15">
      <c r="A1088" s="2" t="s">
        <v>27</v>
      </c>
      <c r="B1088" s="2">
        <v>44241</v>
      </c>
      <c r="C1088" s="2" t="s">
        <v>53</v>
      </c>
      <c r="D1088" s="2" t="s">
        <v>37</v>
      </c>
      <c r="E1088" s="2" t="s">
        <v>57</v>
      </c>
    </row>
    <row r="1089" spans="1:5" ht="13" x14ac:dyDescent="0.15">
      <c r="A1089" s="2" t="s">
        <v>27</v>
      </c>
      <c r="B1089" s="2">
        <v>49843</v>
      </c>
      <c r="C1089" s="2" t="s">
        <v>53</v>
      </c>
      <c r="D1089" s="2" t="s">
        <v>38</v>
      </c>
      <c r="E1089" s="2" t="s">
        <v>57</v>
      </c>
    </row>
    <row r="1090" spans="1:5" ht="13" x14ac:dyDescent="0.15">
      <c r="A1090" s="2" t="s">
        <v>27</v>
      </c>
      <c r="B1090" s="2">
        <v>36556</v>
      </c>
      <c r="C1090" s="2" t="s">
        <v>54</v>
      </c>
      <c r="D1090" s="2" t="s">
        <v>37</v>
      </c>
      <c r="E1090" s="2" t="s">
        <v>57</v>
      </c>
    </row>
    <row r="1091" spans="1:5" ht="13" x14ac:dyDescent="0.15">
      <c r="A1091" s="2" t="s">
        <v>27</v>
      </c>
      <c r="B1091" s="2">
        <v>42547</v>
      </c>
      <c r="C1091" s="2" t="s">
        <v>54</v>
      </c>
      <c r="D1091" s="2" t="s">
        <v>38</v>
      </c>
      <c r="E1091" s="2" t="s">
        <v>57</v>
      </c>
    </row>
    <row r="1092" spans="1:5" ht="13" x14ac:dyDescent="0.15">
      <c r="A1092" s="2" t="s">
        <v>27</v>
      </c>
      <c r="B1092" s="2">
        <v>31529</v>
      </c>
      <c r="C1092" s="2" t="s">
        <v>55</v>
      </c>
      <c r="D1092" s="2" t="s">
        <v>37</v>
      </c>
      <c r="E1092" s="2" t="s">
        <v>57</v>
      </c>
    </row>
    <row r="1093" spans="1:5" ht="13" x14ac:dyDescent="0.15">
      <c r="A1093" s="2" t="s">
        <v>27</v>
      </c>
      <c r="B1093" s="2">
        <v>36804</v>
      </c>
      <c r="C1093" s="2" t="s">
        <v>55</v>
      </c>
      <c r="D1093" s="2" t="s">
        <v>38</v>
      </c>
      <c r="E1093" s="2" t="s">
        <v>57</v>
      </c>
    </row>
    <row r="1094" spans="1:5" ht="13" x14ac:dyDescent="0.15">
      <c r="A1094" s="2" t="s">
        <v>28</v>
      </c>
      <c r="B1094" s="2">
        <v>61654</v>
      </c>
      <c r="C1094" s="2" t="s">
        <v>42</v>
      </c>
      <c r="D1094" s="2" t="s">
        <v>37</v>
      </c>
      <c r="E1094" s="2" t="s">
        <v>43</v>
      </c>
    </row>
    <row r="1095" spans="1:5" ht="13" x14ac:dyDescent="0.15">
      <c r="A1095" s="2" t="s">
        <v>28</v>
      </c>
      <c r="B1095" s="2">
        <v>58072</v>
      </c>
      <c r="C1095" s="2" t="s">
        <v>42</v>
      </c>
      <c r="D1095" s="2" t="s">
        <v>38</v>
      </c>
      <c r="E1095" s="2" t="s">
        <v>43</v>
      </c>
    </row>
    <row r="1096" spans="1:5" ht="13" x14ac:dyDescent="0.15">
      <c r="A1096" s="2" t="s">
        <v>28</v>
      </c>
      <c r="B1096" s="2">
        <v>58580</v>
      </c>
      <c r="C1096" s="2" t="s">
        <v>44</v>
      </c>
      <c r="D1096" s="2" t="s">
        <v>37</v>
      </c>
      <c r="E1096" s="2" t="s">
        <v>43</v>
      </c>
    </row>
    <row r="1097" spans="1:5" ht="13" x14ac:dyDescent="0.15">
      <c r="A1097" s="2" t="s">
        <v>28</v>
      </c>
      <c r="B1097" s="2">
        <v>53898</v>
      </c>
      <c r="C1097" s="2" t="s">
        <v>44</v>
      </c>
      <c r="D1097" s="2" t="s">
        <v>38</v>
      </c>
      <c r="E1097" s="2" t="s">
        <v>43</v>
      </c>
    </row>
    <row r="1098" spans="1:5" ht="13" x14ac:dyDescent="0.15">
      <c r="A1098" s="2" t="s">
        <v>28</v>
      </c>
      <c r="B1098" s="2">
        <v>48210</v>
      </c>
      <c r="C1098" s="2" t="s">
        <v>45</v>
      </c>
      <c r="D1098" s="2" t="s">
        <v>37</v>
      </c>
      <c r="E1098" s="2" t="s">
        <v>43</v>
      </c>
    </row>
    <row r="1099" spans="1:5" ht="13" x14ac:dyDescent="0.15">
      <c r="A1099" s="2" t="s">
        <v>28</v>
      </c>
      <c r="B1099" s="2">
        <v>44797</v>
      </c>
      <c r="C1099" s="2" t="s">
        <v>45</v>
      </c>
      <c r="D1099" s="2" t="s">
        <v>38</v>
      </c>
      <c r="E1099" s="2" t="s">
        <v>43</v>
      </c>
    </row>
    <row r="1100" spans="1:5" ht="13" x14ac:dyDescent="0.15">
      <c r="A1100" s="2" t="s">
        <v>28</v>
      </c>
      <c r="B1100" s="2">
        <v>52907</v>
      </c>
      <c r="C1100" s="2" t="s">
        <v>46</v>
      </c>
      <c r="D1100" s="2" t="s">
        <v>37</v>
      </c>
      <c r="E1100" s="2" t="s">
        <v>43</v>
      </c>
    </row>
    <row r="1101" spans="1:5" ht="13" x14ac:dyDescent="0.15">
      <c r="A1101" s="2" t="s">
        <v>28</v>
      </c>
      <c r="B1101" s="2">
        <v>49820</v>
      </c>
      <c r="C1101" s="2" t="s">
        <v>46</v>
      </c>
      <c r="D1101" s="2" t="s">
        <v>38</v>
      </c>
      <c r="E1101" s="2" t="s">
        <v>43</v>
      </c>
    </row>
    <row r="1102" spans="1:5" ht="13" x14ac:dyDescent="0.15">
      <c r="A1102" s="2" t="s">
        <v>28</v>
      </c>
      <c r="B1102" s="2">
        <v>56557</v>
      </c>
      <c r="C1102" s="2" t="s">
        <v>47</v>
      </c>
      <c r="D1102" s="2" t="s">
        <v>37</v>
      </c>
      <c r="E1102" s="2" t="s">
        <v>43</v>
      </c>
    </row>
    <row r="1103" spans="1:5" ht="13" x14ac:dyDescent="0.15">
      <c r="A1103" s="2" t="s">
        <v>28</v>
      </c>
      <c r="B1103" s="2">
        <v>52890</v>
      </c>
      <c r="C1103" s="2" t="s">
        <v>47</v>
      </c>
      <c r="D1103" s="2" t="s">
        <v>38</v>
      </c>
      <c r="E1103" s="2" t="s">
        <v>43</v>
      </c>
    </row>
    <row r="1104" spans="1:5" ht="13" x14ac:dyDescent="0.15">
      <c r="A1104" s="2" t="s">
        <v>28</v>
      </c>
      <c r="B1104" s="2">
        <v>57355</v>
      </c>
      <c r="C1104" s="2" t="s">
        <v>48</v>
      </c>
      <c r="D1104" s="2" t="s">
        <v>37</v>
      </c>
      <c r="E1104" s="2" t="s">
        <v>43</v>
      </c>
    </row>
    <row r="1105" spans="1:5" ht="13" x14ac:dyDescent="0.15">
      <c r="A1105" s="2" t="s">
        <v>28</v>
      </c>
      <c r="B1105" s="2">
        <v>54104</v>
      </c>
      <c r="C1105" s="2" t="s">
        <v>48</v>
      </c>
      <c r="D1105" s="2" t="s">
        <v>38</v>
      </c>
      <c r="E1105" s="2" t="s">
        <v>43</v>
      </c>
    </row>
    <row r="1106" spans="1:5" ht="13" x14ac:dyDescent="0.15">
      <c r="A1106" s="2" t="s">
        <v>28</v>
      </c>
      <c r="B1106" s="2">
        <v>55712</v>
      </c>
      <c r="C1106" s="2" t="s">
        <v>49</v>
      </c>
      <c r="D1106" s="2" t="s">
        <v>37</v>
      </c>
      <c r="E1106" s="2" t="s">
        <v>43</v>
      </c>
    </row>
    <row r="1107" spans="1:5" ht="13" x14ac:dyDescent="0.15">
      <c r="A1107" s="2" t="s">
        <v>28</v>
      </c>
      <c r="B1107" s="2">
        <v>53276</v>
      </c>
      <c r="C1107" s="2" t="s">
        <v>49</v>
      </c>
      <c r="D1107" s="2" t="s">
        <v>38</v>
      </c>
      <c r="E1107" s="2" t="s">
        <v>43</v>
      </c>
    </row>
    <row r="1108" spans="1:5" ht="13" x14ac:dyDescent="0.15">
      <c r="A1108" s="2" t="s">
        <v>28</v>
      </c>
      <c r="B1108" s="2">
        <v>58842</v>
      </c>
      <c r="C1108" s="2" t="s">
        <v>50</v>
      </c>
      <c r="D1108" s="2" t="s">
        <v>37</v>
      </c>
      <c r="E1108" s="2" t="s">
        <v>43</v>
      </c>
    </row>
    <row r="1109" spans="1:5" ht="13" x14ac:dyDescent="0.15">
      <c r="A1109" s="2" t="s">
        <v>28</v>
      </c>
      <c r="B1109" s="2">
        <v>56258</v>
      </c>
      <c r="C1109" s="2" t="s">
        <v>50</v>
      </c>
      <c r="D1109" s="2" t="s">
        <v>38</v>
      </c>
      <c r="E1109" s="2" t="s">
        <v>43</v>
      </c>
    </row>
    <row r="1110" spans="1:5" ht="13" x14ac:dyDescent="0.15">
      <c r="A1110" s="2" t="s">
        <v>28</v>
      </c>
      <c r="B1110" s="2">
        <v>49454</v>
      </c>
      <c r="C1110" s="2" t="s">
        <v>51</v>
      </c>
      <c r="D1110" s="2" t="s">
        <v>37</v>
      </c>
      <c r="E1110" s="2" t="s">
        <v>43</v>
      </c>
    </row>
    <row r="1111" spans="1:5" ht="13" x14ac:dyDescent="0.15">
      <c r="A1111" s="2" t="s">
        <v>28</v>
      </c>
      <c r="B1111" s="2">
        <v>51596</v>
      </c>
      <c r="C1111" s="2" t="s">
        <v>51</v>
      </c>
      <c r="D1111" s="2" t="s">
        <v>38</v>
      </c>
      <c r="E1111" s="2" t="s">
        <v>43</v>
      </c>
    </row>
    <row r="1112" spans="1:5" ht="13" x14ac:dyDescent="0.15">
      <c r="A1112" s="2" t="s">
        <v>28</v>
      </c>
      <c r="B1112" s="2">
        <v>40547</v>
      </c>
      <c r="C1112" s="2" t="s">
        <v>52</v>
      </c>
      <c r="D1112" s="2" t="s">
        <v>37</v>
      </c>
      <c r="E1112" s="2" t="s">
        <v>43</v>
      </c>
    </row>
    <row r="1113" spans="1:5" ht="13" x14ac:dyDescent="0.15">
      <c r="A1113" s="2" t="s">
        <v>28</v>
      </c>
      <c r="B1113" s="2">
        <v>43776</v>
      </c>
      <c r="C1113" s="2" t="s">
        <v>52</v>
      </c>
      <c r="D1113" s="2" t="s">
        <v>38</v>
      </c>
      <c r="E1113" s="2" t="s">
        <v>43</v>
      </c>
    </row>
    <row r="1114" spans="1:5" ht="13" x14ac:dyDescent="0.15">
      <c r="A1114" s="2" t="s">
        <v>28</v>
      </c>
      <c r="B1114" s="2">
        <v>35046</v>
      </c>
      <c r="C1114" s="2" t="s">
        <v>53</v>
      </c>
      <c r="D1114" s="2" t="s">
        <v>37</v>
      </c>
      <c r="E1114" s="2" t="s">
        <v>43</v>
      </c>
    </row>
    <row r="1115" spans="1:5" ht="13" x14ac:dyDescent="0.15">
      <c r="A1115" s="2" t="s">
        <v>28</v>
      </c>
      <c r="B1115" s="2">
        <v>39094</v>
      </c>
      <c r="C1115" s="2" t="s">
        <v>53</v>
      </c>
      <c r="D1115" s="2" t="s">
        <v>38</v>
      </c>
      <c r="E1115" s="2" t="s">
        <v>43</v>
      </c>
    </row>
    <row r="1116" spans="1:5" ht="13" x14ac:dyDescent="0.15">
      <c r="A1116" s="2" t="s">
        <v>28</v>
      </c>
      <c r="B1116" s="2">
        <v>34287</v>
      </c>
      <c r="C1116" s="2" t="s">
        <v>54</v>
      </c>
      <c r="D1116" s="2" t="s">
        <v>37</v>
      </c>
      <c r="E1116" s="2" t="s">
        <v>43</v>
      </c>
    </row>
    <row r="1117" spans="1:5" ht="13" x14ac:dyDescent="0.15">
      <c r="A1117" s="2" t="s">
        <v>28</v>
      </c>
      <c r="B1117" s="2">
        <v>36460</v>
      </c>
      <c r="C1117" s="2" t="s">
        <v>54</v>
      </c>
      <c r="D1117" s="2" t="s">
        <v>38</v>
      </c>
      <c r="E1117" s="2" t="s">
        <v>43</v>
      </c>
    </row>
    <row r="1118" spans="1:5" ht="13" x14ac:dyDescent="0.15">
      <c r="A1118" s="2" t="s">
        <v>28</v>
      </c>
      <c r="B1118" s="2">
        <v>26501</v>
      </c>
      <c r="C1118" s="2" t="s">
        <v>55</v>
      </c>
      <c r="D1118" s="2" t="s">
        <v>37</v>
      </c>
      <c r="E1118" s="2" t="s">
        <v>43</v>
      </c>
    </row>
    <row r="1119" spans="1:5" ht="13" x14ac:dyDescent="0.15">
      <c r="A1119" s="2" t="s">
        <v>28</v>
      </c>
      <c r="B1119" s="2">
        <v>30548</v>
      </c>
      <c r="C1119" s="2" t="s">
        <v>55</v>
      </c>
      <c r="D1119" s="2" t="s">
        <v>38</v>
      </c>
      <c r="E1119" s="2" t="s">
        <v>43</v>
      </c>
    </row>
    <row r="1120" spans="1:5" ht="13" x14ac:dyDescent="0.15">
      <c r="A1120" s="2" t="s">
        <v>28</v>
      </c>
      <c r="B1120" s="2">
        <v>53106</v>
      </c>
      <c r="C1120" s="2" t="s">
        <v>42</v>
      </c>
      <c r="D1120" s="2" t="s">
        <v>37</v>
      </c>
      <c r="E1120" s="2" t="s">
        <v>56</v>
      </c>
    </row>
    <row r="1121" spans="1:5" ht="13" x14ac:dyDescent="0.15">
      <c r="A1121" s="2" t="s">
        <v>28</v>
      </c>
      <c r="B1121" s="2">
        <v>48791</v>
      </c>
      <c r="C1121" s="2" t="s">
        <v>42</v>
      </c>
      <c r="D1121" s="2" t="s">
        <v>38</v>
      </c>
      <c r="E1121" s="2" t="s">
        <v>56</v>
      </c>
    </row>
    <row r="1122" spans="1:5" ht="13" x14ac:dyDescent="0.15">
      <c r="A1122" s="2" t="s">
        <v>28</v>
      </c>
      <c r="B1122" s="2">
        <v>61615</v>
      </c>
      <c r="C1122" s="2" t="s">
        <v>44</v>
      </c>
      <c r="D1122" s="2" t="s">
        <v>37</v>
      </c>
      <c r="E1122" s="2" t="s">
        <v>56</v>
      </c>
    </row>
    <row r="1123" spans="1:5" ht="13" x14ac:dyDescent="0.15">
      <c r="A1123" s="2" t="s">
        <v>28</v>
      </c>
      <c r="B1123" s="2">
        <v>57839</v>
      </c>
      <c r="C1123" s="2" t="s">
        <v>44</v>
      </c>
      <c r="D1123" s="2" t="s">
        <v>38</v>
      </c>
      <c r="E1123" s="2" t="s">
        <v>56</v>
      </c>
    </row>
    <row r="1124" spans="1:5" ht="13" x14ac:dyDescent="0.15">
      <c r="A1124" s="2" t="s">
        <v>28</v>
      </c>
      <c r="B1124" s="2">
        <v>57724</v>
      </c>
      <c r="C1124" s="2" t="s">
        <v>45</v>
      </c>
      <c r="D1124" s="2" t="s">
        <v>37</v>
      </c>
      <c r="E1124" s="2" t="s">
        <v>56</v>
      </c>
    </row>
    <row r="1125" spans="1:5" ht="13" x14ac:dyDescent="0.15">
      <c r="A1125" s="2" t="s">
        <v>28</v>
      </c>
      <c r="B1125" s="2">
        <v>53557</v>
      </c>
      <c r="C1125" s="2" t="s">
        <v>45</v>
      </c>
      <c r="D1125" s="2" t="s">
        <v>38</v>
      </c>
      <c r="E1125" s="2" t="s">
        <v>56</v>
      </c>
    </row>
    <row r="1126" spans="1:5" ht="13" x14ac:dyDescent="0.15">
      <c r="A1126" s="2" t="s">
        <v>28</v>
      </c>
      <c r="B1126" s="2">
        <v>48068</v>
      </c>
      <c r="C1126" s="2" t="s">
        <v>46</v>
      </c>
      <c r="D1126" s="2" t="s">
        <v>37</v>
      </c>
      <c r="E1126" s="2" t="s">
        <v>56</v>
      </c>
    </row>
    <row r="1127" spans="1:5" ht="13" x14ac:dyDescent="0.15">
      <c r="A1127" s="2" t="s">
        <v>28</v>
      </c>
      <c r="B1127" s="2">
        <v>44643</v>
      </c>
      <c r="C1127" s="2" t="s">
        <v>46</v>
      </c>
      <c r="D1127" s="2" t="s">
        <v>38</v>
      </c>
      <c r="E1127" s="2" t="s">
        <v>56</v>
      </c>
    </row>
    <row r="1128" spans="1:5" ht="13" x14ac:dyDescent="0.15">
      <c r="A1128" s="2" t="s">
        <v>28</v>
      </c>
      <c r="B1128" s="2">
        <v>52299</v>
      </c>
      <c r="C1128" s="2" t="s">
        <v>47</v>
      </c>
      <c r="D1128" s="2" t="s">
        <v>37</v>
      </c>
      <c r="E1128" s="2" t="s">
        <v>56</v>
      </c>
    </row>
    <row r="1129" spans="1:5" ht="13" x14ac:dyDescent="0.15">
      <c r="A1129" s="2" t="s">
        <v>28</v>
      </c>
      <c r="B1129" s="2">
        <v>49639</v>
      </c>
      <c r="C1129" s="2" t="s">
        <v>47</v>
      </c>
      <c r="D1129" s="2" t="s">
        <v>38</v>
      </c>
      <c r="E1129" s="2" t="s">
        <v>56</v>
      </c>
    </row>
    <row r="1130" spans="1:5" ht="13" x14ac:dyDescent="0.15">
      <c r="A1130" s="2" t="s">
        <v>28</v>
      </c>
      <c r="B1130" s="2">
        <v>55829</v>
      </c>
      <c r="C1130" s="2" t="s">
        <v>48</v>
      </c>
      <c r="D1130" s="2" t="s">
        <v>37</v>
      </c>
      <c r="E1130" s="2" t="s">
        <v>56</v>
      </c>
    </row>
    <row r="1131" spans="1:5" ht="13" x14ac:dyDescent="0.15">
      <c r="A1131" s="2" t="s">
        <v>28</v>
      </c>
      <c r="B1131" s="2">
        <v>52604</v>
      </c>
      <c r="C1131" s="2" t="s">
        <v>48</v>
      </c>
      <c r="D1131" s="2" t="s">
        <v>38</v>
      </c>
      <c r="E1131" s="2" t="s">
        <v>56</v>
      </c>
    </row>
    <row r="1132" spans="1:5" ht="13" x14ac:dyDescent="0.15">
      <c r="A1132" s="2" t="s">
        <v>28</v>
      </c>
      <c r="B1132" s="2">
        <v>55877</v>
      </c>
      <c r="C1132" s="2" t="s">
        <v>49</v>
      </c>
      <c r="D1132" s="2" t="s">
        <v>37</v>
      </c>
      <c r="E1132" s="2" t="s">
        <v>56</v>
      </c>
    </row>
    <row r="1133" spans="1:5" ht="13" x14ac:dyDescent="0.15">
      <c r="A1133" s="2" t="s">
        <v>28</v>
      </c>
      <c r="B1133" s="2">
        <v>53533</v>
      </c>
      <c r="C1133" s="2" t="s">
        <v>49</v>
      </c>
      <c r="D1133" s="2" t="s">
        <v>38</v>
      </c>
      <c r="E1133" s="2" t="s">
        <v>56</v>
      </c>
    </row>
    <row r="1134" spans="1:5" ht="13" x14ac:dyDescent="0.15">
      <c r="A1134" s="2" t="s">
        <v>28</v>
      </c>
      <c r="B1134" s="2">
        <v>56242</v>
      </c>
      <c r="C1134" s="2" t="s">
        <v>50</v>
      </c>
      <c r="D1134" s="2" t="s">
        <v>37</v>
      </c>
      <c r="E1134" s="2" t="s">
        <v>56</v>
      </c>
    </row>
    <row r="1135" spans="1:5" ht="13" x14ac:dyDescent="0.15">
      <c r="A1135" s="2" t="s">
        <v>28</v>
      </c>
      <c r="B1135" s="2">
        <v>53543</v>
      </c>
      <c r="C1135" s="2" t="s">
        <v>50</v>
      </c>
      <c r="D1135" s="2" t="s">
        <v>38</v>
      </c>
      <c r="E1135" s="2" t="s">
        <v>56</v>
      </c>
    </row>
    <row r="1136" spans="1:5" ht="13" x14ac:dyDescent="0.15">
      <c r="A1136" s="2" t="s">
        <v>28</v>
      </c>
      <c r="B1136" s="2">
        <v>53832</v>
      </c>
      <c r="C1136" s="2" t="s">
        <v>51</v>
      </c>
      <c r="D1136" s="2" t="s">
        <v>37</v>
      </c>
      <c r="E1136" s="2" t="s">
        <v>56</v>
      </c>
    </row>
    <row r="1137" spans="1:5" ht="13" x14ac:dyDescent="0.15">
      <c r="A1137" s="2" t="s">
        <v>28</v>
      </c>
      <c r="B1137" s="2">
        <v>54398</v>
      </c>
      <c r="C1137" s="2" t="s">
        <v>51</v>
      </c>
      <c r="D1137" s="2" t="s">
        <v>38</v>
      </c>
      <c r="E1137" s="2" t="s">
        <v>56</v>
      </c>
    </row>
    <row r="1138" spans="1:5" ht="13" x14ac:dyDescent="0.15">
      <c r="A1138" s="2" t="s">
        <v>28</v>
      </c>
      <c r="B1138" s="2">
        <v>44857</v>
      </c>
      <c r="C1138" s="2" t="s">
        <v>52</v>
      </c>
      <c r="D1138" s="2" t="s">
        <v>37</v>
      </c>
      <c r="E1138" s="2" t="s">
        <v>56</v>
      </c>
    </row>
    <row r="1139" spans="1:5" ht="13" x14ac:dyDescent="0.15">
      <c r="A1139" s="2" t="s">
        <v>28</v>
      </c>
      <c r="B1139" s="2">
        <v>48972</v>
      </c>
      <c r="C1139" s="2" t="s">
        <v>52</v>
      </c>
      <c r="D1139" s="2" t="s">
        <v>38</v>
      </c>
      <c r="E1139" s="2" t="s">
        <v>56</v>
      </c>
    </row>
    <row r="1140" spans="1:5" ht="13" x14ac:dyDescent="0.15">
      <c r="A1140" s="2" t="s">
        <v>28</v>
      </c>
      <c r="B1140" s="2">
        <v>36927</v>
      </c>
      <c r="C1140" s="2" t="s">
        <v>53</v>
      </c>
      <c r="D1140" s="2" t="s">
        <v>37</v>
      </c>
      <c r="E1140" s="2" t="s">
        <v>56</v>
      </c>
    </row>
    <row r="1141" spans="1:5" ht="13" x14ac:dyDescent="0.15">
      <c r="A1141" s="2" t="s">
        <v>28</v>
      </c>
      <c r="B1141" s="2">
        <v>41492</v>
      </c>
      <c r="C1141" s="2" t="s">
        <v>53</v>
      </c>
      <c r="D1141" s="2" t="s">
        <v>38</v>
      </c>
      <c r="E1141" s="2" t="s">
        <v>56</v>
      </c>
    </row>
    <row r="1142" spans="1:5" ht="13" x14ac:dyDescent="0.15">
      <c r="A1142" s="2" t="s">
        <v>28</v>
      </c>
      <c r="B1142" s="2">
        <v>34887</v>
      </c>
      <c r="C1142" s="2" t="s">
        <v>54</v>
      </c>
      <c r="D1142" s="2" t="s">
        <v>37</v>
      </c>
      <c r="E1142" s="2" t="s">
        <v>56</v>
      </c>
    </row>
    <row r="1143" spans="1:5" ht="13" x14ac:dyDescent="0.15">
      <c r="A1143" s="2" t="s">
        <v>28</v>
      </c>
      <c r="B1143" s="2">
        <v>38038</v>
      </c>
      <c r="C1143" s="2" t="s">
        <v>54</v>
      </c>
      <c r="D1143" s="2" t="s">
        <v>38</v>
      </c>
      <c r="E1143" s="2" t="s">
        <v>56</v>
      </c>
    </row>
    <row r="1144" spans="1:5" ht="13" x14ac:dyDescent="0.15">
      <c r="A1144" s="2" t="s">
        <v>28</v>
      </c>
      <c r="B1144" s="2">
        <v>30218</v>
      </c>
      <c r="C1144" s="2" t="s">
        <v>55</v>
      </c>
      <c r="D1144" s="2" t="s">
        <v>37</v>
      </c>
      <c r="E1144" s="2" t="s">
        <v>56</v>
      </c>
    </row>
    <row r="1145" spans="1:5" ht="13" x14ac:dyDescent="0.15">
      <c r="A1145" s="2" t="s">
        <v>28</v>
      </c>
      <c r="B1145" s="2">
        <v>33266</v>
      </c>
      <c r="C1145" s="2" t="s">
        <v>55</v>
      </c>
      <c r="D1145" s="2" t="s">
        <v>38</v>
      </c>
      <c r="E1145" s="2" t="s">
        <v>56</v>
      </c>
    </row>
    <row r="1146" spans="1:5" ht="13" x14ac:dyDescent="0.15">
      <c r="A1146" s="2" t="s">
        <v>28</v>
      </c>
      <c r="B1146" s="2">
        <v>51495</v>
      </c>
      <c r="C1146" s="2" t="s">
        <v>42</v>
      </c>
      <c r="D1146" s="2" t="s">
        <v>37</v>
      </c>
      <c r="E1146" s="2" t="s">
        <v>57</v>
      </c>
    </row>
    <row r="1147" spans="1:5" ht="13" x14ac:dyDescent="0.15">
      <c r="A1147" s="2" t="s">
        <v>28</v>
      </c>
      <c r="B1147" s="2">
        <v>48800</v>
      </c>
      <c r="C1147" s="2" t="s">
        <v>42</v>
      </c>
      <c r="D1147" s="2" t="s">
        <v>38</v>
      </c>
      <c r="E1147" s="2" t="s">
        <v>57</v>
      </c>
    </row>
    <row r="1148" spans="1:5" ht="13" x14ac:dyDescent="0.15">
      <c r="A1148" s="2" t="s">
        <v>28</v>
      </c>
      <c r="B1148" s="2">
        <v>52703</v>
      </c>
      <c r="C1148" s="2" t="s">
        <v>44</v>
      </c>
      <c r="D1148" s="2" t="s">
        <v>37</v>
      </c>
      <c r="E1148" s="2" t="s">
        <v>57</v>
      </c>
    </row>
    <row r="1149" spans="1:5" ht="13" x14ac:dyDescent="0.15">
      <c r="A1149" s="2" t="s">
        <v>28</v>
      </c>
      <c r="B1149" s="2">
        <v>47886</v>
      </c>
      <c r="C1149" s="2" t="s">
        <v>44</v>
      </c>
      <c r="D1149" s="2" t="s">
        <v>38</v>
      </c>
      <c r="E1149" s="2" t="s">
        <v>57</v>
      </c>
    </row>
    <row r="1150" spans="1:5" ht="13" x14ac:dyDescent="0.15">
      <c r="A1150" s="2" t="s">
        <v>28</v>
      </c>
      <c r="B1150" s="2">
        <v>59327</v>
      </c>
      <c r="C1150" s="2" t="s">
        <v>45</v>
      </c>
      <c r="D1150" s="2" t="s">
        <v>37</v>
      </c>
      <c r="E1150" s="2" t="s">
        <v>57</v>
      </c>
    </row>
    <row r="1151" spans="1:5" ht="13" x14ac:dyDescent="0.15">
      <c r="A1151" s="2" t="s">
        <v>28</v>
      </c>
      <c r="B1151" s="2">
        <v>56003</v>
      </c>
      <c r="C1151" s="2" t="s">
        <v>45</v>
      </c>
      <c r="D1151" s="2" t="s">
        <v>38</v>
      </c>
      <c r="E1151" s="2" t="s">
        <v>57</v>
      </c>
    </row>
    <row r="1152" spans="1:5" ht="13" x14ac:dyDescent="0.15">
      <c r="A1152" s="2" t="s">
        <v>28</v>
      </c>
      <c r="B1152" s="2">
        <v>55891</v>
      </c>
      <c r="C1152" s="2" t="s">
        <v>46</v>
      </c>
      <c r="D1152" s="2" t="s">
        <v>37</v>
      </c>
      <c r="E1152" s="2" t="s">
        <v>57</v>
      </c>
    </row>
    <row r="1153" spans="1:5" ht="13" x14ac:dyDescent="0.15">
      <c r="A1153" s="2" t="s">
        <v>28</v>
      </c>
      <c r="B1153" s="2">
        <v>52028</v>
      </c>
      <c r="C1153" s="2" t="s">
        <v>46</v>
      </c>
      <c r="D1153" s="2" t="s">
        <v>38</v>
      </c>
      <c r="E1153" s="2" t="s">
        <v>57</v>
      </c>
    </row>
    <row r="1154" spans="1:5" ht="13" x14ac:dyDescent="0.15">
      <c r="A1154" s="2" t="s">
        <v>28</v>
      </c>
      <c r="B1154" s="2">
        <v>46687</v>
      </c>
      <c r="C1154" s="2" t="s">
        <v>47</v>
      </c>
      <c r="D1154" s="2" t="s">
        <v>37</v>
      </c>
      <c r="E1154" s="2" t="s">
        <v>57</v>
      </c>
    </row>
    <row r="1155" spans="1:5" ht="13" x14ac:dyDescent="0.15">
      <c r="A1155" s="2" t="s">
        <v>28</v>
      </c>
      <c r="B1155" s="2">
        <v>43657</v>
      </c>
      <c r="C1155" s="2" t="s">
        <v>47</v>
      </c>
      <c r="D1155" s="2" t="s">
        <v>38</v>
      </c>
      <c r="E1155" s="2" t="s">
        <v>57</v>
      </c>
    </row>
    <row r="1156" spans="1:5" ht="13" x14ac:dyDescent="0.15">
      <c r="A1156" s="2" t="s">
        <v>28</v>
      </c>
      <c r="B1156" s="2">
        <v>50830</v>
      </c>
      <c r="C1156" s="2" t="s">
        <v>48</v>
      </c>
      <c r="D1156" s="2" t="s">
        <v>37</v>
      </c>
      <c r="E1156" s="2" t="s">
        <v>57</v>
      </c>
    </row>
    <row r="1157" spans="1:5" ht="13" x14ac:dyDescent="0.15">
      <c r="A1157" s="2" t="s">
        <v>28</v>
      </c>
      <c r="B1157" s="2">
        <v>48656</v>
      </c>
      <c r="C1157" s="2" t="s">
        <v>48</v>
      </c>
      <c r="D1157" s="2" t="s">
        <v>38</v>
      </c>
      <c r="E1157" s="2" t="s">
        <v>57</v>
      </c>
    </row>
    <row r="1158" spans="1:5" ht="13" x14ac:dyDescent="0.15">
      <c r="A1158" s="2" t="s">
        <v>28</v>
      </c>
      <c r="B1158" s="2">
        <v>53854</v>
      </c>
      <c r="C1158" s="2" t="s">
        <v>49</v>
      </c>
      <c r="D1158" s="2" t="s">
        <v>37</v>
      </c>
      <c r="E1158" s="2" t="s">
        <v>57</v>
      </c>
    </row>
    <row r="1159" spans="1:5" ht="13" x14ac:dyDescent="0.15">
      <c r="A1159" s="2" t="s">
        <v>28</v>
      </c>
      <c r="B1159" s="2">
        <v>51324</v>
      </c>
      <c r="C1159" s="2" t="s">
        <v>49</v>
      </c>
      <c r="D1159" s="2" t="s">
        <v>38</v>
      </c>
      <c r="E1159" s="2" t="s">
        <v>57</v>
      </c>
    </row>
    <row r="1160" spans="1:5" ht="13" x14ac:dyDescent="0.15">
      <c r="A1160" s="2" t="s">
        <v>28</v>
      </c>
      <c r="B1160" s="2">
        <v>52029</v>
      </c>
      <c r="C1160" s="2" t="s">
        <v>50</v>
      </c>
      <c r="D1160" s="2" t="s">
        <v>37</v>
      </c>
      <c r="E1160" s="2" t="s">
        <v>57</v>
      </c>
    </row>
    <row r="1161" spans="1:5" ht="13" x14ac:dyDescent="0.15">
      <c r="A1161" s="2" t="s">
        <v>28</v>
      </c>
      <c r="B1161" s="2">
        <v>50357</v>
      </c>
      <c r="C1161" s="2" t="s">
        <v>50</v>
      </c>
      <c r="D1161" s="2" t="s">
        <v>38</v>
      </c>
      <c r="E1161" s="2" t="s">
        <v>57</v>
      </c>
    </row>
    <row r="1162" spans="1:5" ht="13" x14ac:dyDescent="0.15">
      <c r="A1162" s="2" t="s">
        <v>28</v>
      </c>
      <c r="B1162" s="2">
        <v>51763</v>
      </c>
      <c r="C1162" s="2" t="s">
        <v>51</v>
      </c>
      <c r="D1162" s="2" t="s">
        <v>37</v>
      </c>
      <c r="E1162" s="2" t="s">
        <v>57</v>
      </c>
    </row>
    <row r="1163" spans="1:5" ht="13" x14ac:dyDescent="0.15">
      <c r="A1163" s="2" t="s">
        <v>28</v>
      </c>
      <c r="B1163" s="2">
        <v>51023</v>
      </c>
      <c r="C1163" s="2" t="s">
        <v>51</v>
      </c>
      <c r="D1163" s="2" t="s">
        <v>38</v>
      </c>
      <c r="E1163" s="2" t="s">
        <v>57</v>
      </c>
    </row>
    <row r="1164" spans="1:5" ht="13" x14ac:dyDescent="0.15">
      <c r="A1164" s="2" t="s">
        <v>28</v>
      </c>
      <c r="B1164" s="2">
        <v>49299</v>
      </c>
      <c r="C1164" s="2" t="s">
        <v>52</v>
      </c>
      <c r="D1164" s="2" t="s">
        <v>37</v>
      </c>
      <c r="E1164" s="2" t="s">
        <v>57</v>
      </c>
    </row>
    <row r="1165" spans="1:5" ht="13" x14ac:dyDescent="0.15">
      <c r="A1165" s="2" t="s">
        <v>28</v>
      </c>
      <c r="B1165" s="2">
        <v>51905</v>
      </c>
      <c r="C1165" s="2" t="s">
        <v>52</v>
      </c>
      <c r="D1165" s="2" t="s">
        <v>38</v>
      </c>
      <c r="E1165" s="2" t="s">
        <v>57</v>
      </c>
    </row>
    <row r="1166" spans="1:5" ht="13" x14ac:dyDescent="0.15">
      <c r="A1166" s="2" t="s">
        <v>28</v>
      </c>
      <c r="B1166" s="2">
        <v>41287</v>
      </c>
      <c r="C1166" s="2" t="s">
        <v>53</v>
      </c>
      <c r="D1166" s="2" t="s">
        <v>37</v>
      </c>
      <c r="E1166" s="2" t="s">
        <v>57</v>
      </c>
    </row>
    <row r="1167" spans="1:5" ht="13" x14ac:dyDescent="0.15">
      <c r="A1167" s="2" t="s">
        <v>28</v>
      </c>
      <c r="B1167" s="2">
        <v>46737</v>
      </c>
      <c r="C1167" s="2" t="s">
        <v>53</v>
      </c>
      <c r="D1167" s="2" t="s">
        <v>38</v>
      </c>
      <c r="E1167" s="2" t="s">
        <v>57</v>
      </c>
    </row>
    <row r="1168" spans="1:5" ht="13" x14ac:dyDescent="0.15">
      <c r="A1168" s="2" t="s">
        <v>28</v>
      </c>
      <c r="B1168" s="2">
        <v>35371</v>
      </c>
      <c r="C1168" s="2" t="s">
        <v>54</v>
      </c>
      <c r="D1168" s="2" t="s">
        <v>37</v>
      </c>
      <c r="E1168" s="2" t="s">
        <v>57</v>
      </c>
    </row>
    <row r="1169" spans="1:5" ht="13" x14ac:dyDescent="0.15">
      <c r="A1169" s="2" t="s">
        <v>28</v>
      </c>
      <c r="B1169" s="2">
        <v>40860</v>
      </c>
      <c r="C1169" s="2" t="s">
        <v>54</v>
      </c>
      <c r="D1169" s="2" t="s">
        <v>38</v>
      </c>
      <c r="E1169" s="2" t="s">
        <v>57</v>
      </c>
    </row>
    <row r="1170" spans="1:5" ht="13" x14ac:dyDescent="0.15">
      <c r="A1170" s="2" t="s">
        <v>28</v>
      </c>
      <c r="B1170" s="2">
        <v>31281</v>
      </c>
      <c r="C1170" s="2" t="s">
        <v>55</v>
      </c>
      <c r="D1170" s="2" t="s">
        <v>37</v>
      </c>
      <c r="E1170" s="2" t="s">
        <v>57</v>
      </c>
    </row>
    <row r="1171" spans="1:5" ht="13" x14ac:dyDescent="0.15">
      <c r="A1171" s="2" t="s">
        <v>28</v>
      </c>
      <c r="B1171" s="2">
        <v>35597</v>
      </c>
      <c r="C1171" s="2" t="s">
        <v>55</v>
      </c>
      <c r="D1171" s="2" t="s">
        <v>38</v>
      </c>
      <c r="E1171" s="2" t="s">
        <v>57</v>
      </c>
    </row>
    <row r="1172" spans="1:5" ht="13" x14ac:dyDescent="0.15">
      <c r="A1172" s="2" t="s">
        <v>29</v>
      </c>
      <c r="B1172" s="2">
        <v>37156</v>
      </c>
      <c r="C1172" s="2" t="s">
        <v>42</v>
      </c>
      <c r="D1172" s="2" t="s">
        <v>37</v>
      </c>
      <c r="E1172" s="2" t="s">
        <v>43</v>
      </c>
    </row>
    <row r="1173" spans="1:5" ht="13" x14ac:dyDescent="0.15">
      <c r="A1173" s="2" t="s">
        <v>29</v>
      </c>
      <c r="B1173" s="2">
        <v>34644</v>
      </c>
      <c r="C1173" s="2" t="s">
        <v>42</v>
      </c>
      <c r="D1173" s="2" t="s">
        <v>38</v>
      </c>
      <c r="E1173" s="2" t="s">
        <v>43</v>
      </c>
    </row>
    <row r="1174" spans="1:5" ht="13" x14ac:dyDescent="0.15">
      <c r="A1174" s="2" t="s">
        <v>29</v>
      </c>
      <c r="B1174" s="2">
        <v>35268</v>
      </c>
      <c r="C1174" s="2" t="s">
        <v>44</v>
      </c>
      <c r="D1174" s="2" t="s">
        <v>37</v>
      </c>
      <c r="E1174" s="2" t="s">
        <v>43</v>
      </c>
    </row>
    <row r="1175" spans="1:5" ht="13" x14ac:dyDescent="0.15">
      <c r="A1175" s="2" t="s">
        <v>29</v>
      </c>
      <c r="B1175" s="2">
        <v>32132</v>
      </c>
      <c r="C1175" s="2" t="s">
        <v>44</v>
      </c>
      <c r="D1175" s="2" t="s">
        <v>38</v>
      </c>
      <c r="E1175" s="2" t="s">
        <v>43</v>
      </c>
    </row>
    <row r="1176" spans="1:5" ht="13" x14ac:dyDescent="0.15">
      <c r="A1176" s="2" t="s">
        <v>29</v>
      </c>
      <c r="B1176" s="2">
        <v>29943</v>
      </c>
      <c r="C1176" s="2" t="s">
        <v>45</v>
      </c>
      <c r="D1176" s="2" t="s">
        <v>37</v>
      </c>
      <c r="E1176" s="2" t="s">
        <v>43</v>
      </c>
    </row>
    <row r="1177" spans="1:5" ht="13" x14ac:dyDescent="0.15">
      <c r="A1177" s="2" t="s">
        <v>29</v>
      </c>
      <c r="B1177" s="2">
        <v>26993</v>
      </c>
      <c r="C1177" s="2" t="s">
        <v>45</v>
      </c>
      <c r="D1177" s="2" t="s">
        <v>38</v>
      </c>
      <c r="E1177" s="2" t="s">
        <v>43</v>
      </c>
    </row>
    <row r="1178" spans="1:5" ht="13" x14ac:dyDescent="0.15">
      <c r="A1178" s="2" t="s">
        <v>29</v>
      </c>
      <c r="B1178" s="2">
        <v>32977</v>
      </c>
      <c r="C1178" s="2" t="s">
        <v>46</v>
      </c>
      <c r="D1178" s="2" t="s">
        <v>37</v>
      </c>
      <c r="E1178" s="2" t="s">
        <v>43</v>
      </c>
    </row>
    <row r="1179" spans="1:5" ht="13" x14ac:dyDescent="0.15">
      <c r="A1179" s="2" t="s">
        <v>29</v>
      </c>
      <c r="B1179" s="2">
        <v>30396</v>
      </c>
      <c r="C1179" s="2" t="s">
        <v>46</v>
      </c>
      <c r="D1179" s="2" t="s">
        <v>38</v>
      </c>
      <c r="E1179" s="2" t="s">
        <v>43</v>
      </c>
    </row>
    <row r="1180" spans="1:5" ht="13" x14ac:dyDescent="0.15">
      <c r="A1180" s="2" t="s">
        <v>29</v>
      </c>
      <c r="B1180" s="2">
        <v>33592</v>
      </c>
      <c r="C1180" s="2" t="s">
        <v>47</v>
      </c>
      <c r="D1180" s="2" t="s">
        <v>37</v>
      </c>
      <c r="E1180" s="2" t="s">
        <v>43</v>
      </c>
    </row>
    <row r="1181" spans="1:5" ht="13" x14ac:dyDescent="0.15">
      <c r="A1181" s="2" t="s">
        <v>29</v>
      </c>
      <c r="B1181" s="2">
        <v>31262</v>
      </c>
      <c r="C1181" s="2" t="s">
        <v>47</v>
      </c>
      <c r="D1181" s="2" t="s">
        <v>38</v>
      </c>
      <c r="E1181" s="2" t="s">
        <v>43</v>
      </c>
    </row>
    <row r="1182" spans="1:5" ht="13" x14ac:dyDescent="0.15">
      <c r="A1182" s="2" t="s">
        <v>29</v>
      </c>
      <c r="B1182" s="2">
        <v>34526</v>
      </c>
      <c r="C1182" s="2" t="s">
        <v>48</v>
      </c>
      <c r="D1182" s="2" t="s">
        <v>37</v>
      </c>
      <c r="E1182" s="2" t="s">
        <v>43</v>
      </c>
    </row>
    <row r="1183" spans="1:5" ht="13" x14ac:dyDescent="0.15">
      <c r="A1183" s="2" t="s">
        <v>29</v>
      </c>
      <c r="B1183" s="2">
        <v>31884</v>
      </c>
      <c r="C1183" s="2" t="s">
        <v>48</v>
      </c>
      <c r="D1183" s="2" t="s">
        <v>38</v>
      </c>
      <c r="E1183" s="2" t="s">
        <v>43</v>
      </c>
    </row>
    <row r="1184" spans="1:5" ht="13" x14ac:dyDescent="0.15">
      <c r="A1184" s="2" t="s">
        <v>29</v>
      </c>
      <c r="B1184" s="2">
        <v>33718</v>
      </c>
      <c r="C1184" s="2" t="s">
        <v>49</v>
      </c>
      <c r="D1184" s="2" t="s">
        <v>37</v>
      </c>
      <c r="E1184" s="2" t="s">
        <v>43</v>
      </c>
    </row>
    <row r="1185" spans="1:5" ht="13" x14ac:dyDescent="0.15">
      <c r="A1185" s="2" t="s">
        <v>29</v>
      </c>
      <c r="B1185" s="2">
        <v>31330</v>
      </c>
      <c r="C1185" s="2" t="s">
        <v>49</v>
      </c>
      <c r="D1185" s="2" t="s">
        <v>38</v>
      </c>
      <c r="E1185" s="2" t="s">
        <v>43</v>
      </c>
    </row>
    <row r="1186" spans="1:5" ht="13" x14ac:dyDescent="0.15">
      <c r="A1186" s="2" t="s">
        <v>29</v>
      </c>
      <c r="B1186" s="2">
        <v>35609</v>
      </c>
      <c r="C1186" s="2" t="s">
        <v>50</v>
      </c>
      <c r="D1186" s="2" t="s">
        <v>37</v>
      </c>
      <c r="E1186" s="2" t="s">
        <v>43</v>
      </c>
    </row>
    <row r="1187" spans="1:5" ht="13" x14ac:dyDescent="0.15">
      <c r="A1187" s="2" t="s">
        <v>29</v>
      </c>
      <c r="B1187" s="2">
        <v>32811</v>
      </c>
      <c r="C1187" s="2" t="s">
        <v>50</v>
      </c>
      <c r="D1187" s="2" t="s">
        <v>38</v>
      </c>
      <c r="E1187" s="2" t="s">
        <v>43</v>
      </c>
    </row>
    <row r="1188" spans="1:5" ht="13" x14ac:dyDescent="0.15">
      <c r="A1188" s="2" t="s">
        <v>29</v>
      </c>
      <c r="B1188" s="2">
        <v>32403</v>
      </c>
      <c r="C1188" s="2" t="s">
        <v>51</v>
      </c>
      <c r="D1188" s="2" t="s">
        <v>37</v>
      </c>
      <c r="E1188" s="2" t="s">
        <v>43</v>
      </c>
    </row>
    <row r="1189" spans="1:5" ht="13" x14ac:dyDescent="0.15">
      <c r="A1189" s="2" t="s">
        <v>29</v>
      </c>
      <c r="B1189" s="2">
        <v>31670</v>
      </c>
      <c r="C1189" s="2" t="s">
        <v>51</v>
      </c>
      <c r="D1189" s="2" t="s">
        <v>38</v>
      </c>
      <c r="E1189" s="2" t="s">
        <v>43</v>
      </c>
    </row>
    <row r="1190" spans="1:5" ht="13" x14ac:dyDescent="0.15">
      <c r="A1190" s="2" t="s">
        <v>29</v>
      </c>
      <c r="B1190" s="2">
        <v>27260</v>
      </c>
      <c r="C1190" s="2" t="s">
        <v>52</v>
      </c>
      <c r="D1190" s="2" t="s">
        <v>37</v>
      </c>
      <c r="E1190" s="2" t="s">
        <v>43</v>
      </c>
    </row>
    <row r="1191" spans="1:5" ht="13" x14ac:dyDescent="0.15">
      <c r="A1191" s="2" t="s">
        <v>29</v>
      </c>
      <c r="B1191" s="2">
        <v>28426</v>
      </c>
      <c r="C1191" s="2" t="s">
        <v>52</v>
      </c>
      <c r="D1191" s="2" t="s">
        <v>38</v>
      </c>
      <c r="E1191" s="2" t="s">
        <v>43</v>
      </c>
    </row>
    <row r="1192" spans="1:5" ht="13" x14ac:dyDescent="0.15">
      <c r="A1192" s="2" t="s">
        <v>29</v>
      </c>
      <c r="B1192" s="2">
        <v>23527</v>
      </c>
      <c r="C1192" s="2" t="s">
        <v>53</v>
      </c>
      <c r="D1192" s="2" t="s">
        <v>37</v>
      </c>
      <c r="E1192" s="2" t="s">
        <v>43</v>
      </c>
    </row>
    <row r="1193" spans="1:5" ht="13" x14ac:dyDescent="0.15">
      <c r="A1193" s="2" t="s">
        <v>29</v>
      </c>
      <c r="B1193" s="2">
        <v>25040</v>
      </c>
      <c r="C1193" s="2" t="s">
        <v>53</v>
      </c>
      <c r="D1193" s="2" t="s">
        <v>38</v>
      </c>
      <c r="E1193" s="2" t="s">
        <v>43</v>
      </c>
    </row>
    <row r="1194" spans="1:5" ht="13" x14ac:dyDescent="0.15">
      <c r="A1194" s="2" t="s">
        <v>29</v>
      </c>
      <c r="B1194" s="2">
        <v>21670</v>
      </c>
      <c r="C1194" s="2" t="s">
        <v>54</v>
      </c>
      <c r="D1194" s="2" t="s">
        <v>37</v>
      </c>
      <c r="E1194" s="2" t="s">
        <v>43</v>
      </c>
    </row>
    <row r="1195" spans="1:5" ht="13" x14ac:dyDescent="0.15">
      <c r="A1195" s="2" t="s">
        <v>29</v>
      </c>
      <c r="B1195" s="2">
        <v>22367</v>
      </c>
      <c r="C1195" s="2" t="s">
        <v>54</v>
      </c>
      <c r="D1195" s="2" t="s">
        <v>38</v>
      </c>
      <c r="E1195" s="2" t="s">
        <v>43</v>
      </c>
    </row>
    <row r="1196" spans="1:5" ht="13" x14ac:dyDescent="0.15">
      <c r="A1196" s="2" t="s">
        <v>29</v>
      </c>
      <c r="B1196" s="2">
        <v>17536</v>
      </c>
      <c r="C1196" s="2" t="s">
        <v>55</v>
      </c>
      <c r="D1196" s="2" t="s">
        <v>37</v>
      </c>
      <c r="E1196" s="2" t="s">
        <v>43</v>
      </c>
    </row>
    <row r="1197" spans="1:5" ht="13" x14ac:dyDescent="0.15">
      <c r="A1197" s="2" t="s">
        <v>29</v>
      </c>
      <c r="B1197" s="2">
        <v>19213</v>
      </c>
      <c r="C1197" s="2" t="s">
        <v>55</v>
      </c>
      <c r="D1197" s="2" t="s">
        <v>38</v>
      </c>
      <c r="E1197" s="2" t="s">
        <v>43</v>
      </c>
    </row>
    <row r="1198" spans="1:5" ht="13" x14ac:dyDescent="0.15">
      <c r="A1198" s="2" t="s">
        <v>29</v>
      </c>
      <c r="B1198" s="2">
        <v>31562</v>
      </c>
      <c r="C1198" s="2" t="s">
        <v>42</v>
      </c>
      <c r="D1198" s="2" t="s">
        <v>37</v>
      </c>
      <c r="E1198" s="2" t="s">
        <v>56</v>
      </c>
    </row>
    <row r="1199" spans="1:5" ht="13" x14ac:dyDescent="0.15">
      <c r="A1199" s="2" t="s">
        <v>29</v>
      </c>
      <c r="B1199" s="2">
        <v>28137</v>
      </c>
      <c r="C1199" s="2" t="s">
        <v>42</v>
      </c>
      <c r="D1199" s="2" t="s">
        <v>38</v>
      </c>
      <c r="E1199" s="2" t="s">
        <v>56</v>
      </c>
    </row>
    <row r="1200" spans="1:5" ht="13" x14ac:dyDescent="0.15">
      <c r="A1200" s="2" t="s">
        <v>29</v>
      </c>
      <c r="B1200" s="2">
        <v>37692</v>
      </c>
      <c r="C1200" s="2" t="s">
        <v>44</v>
      </c>
      <c r="D1200" s="2" t="s">
        <v>37</v>
      </c>
      <c r="E1200" s="2" t="s">
        <v>56</v>
      </c>
    </row>
    <row r="1201" spans="1:5" ht="13" x14ac:dyDescent="0.15">
      <c r="A1201" s="2" t="s">
        <v>29</v>
      </c>
      <c r="B1201" s="2">
        <v>34796</v>
      </c>
      <c r="C1201" s="2" t="s">
        <v>44</v>
      </c>
      <c r="D1201" s="2" t="s">
        <v>38</v>
      </c>
      <c r="E1201" s="2" t="s">
        <v>56</v>
      </c>
    </row>
    <row r="1202" spans="1:5" ht="13" x14ac:dyDescent="0.15">
      <c r="A1202" s="2" t="s">
        <v>29</v>
      </c>
      <c r="B1202" s="2">
        <v>34542</v>
      </c>
      <c r="C1202" s="2" t="s">
        <v>45</v>
      </c>
      <c r="D1202" s="2" t="s">
        <v>37</v>
      </c>
      <c r="E1202" s="2" t="s">
        <v>56</v>
      </c>
    </row>
    <row r="1203" spans="1:5" ht="13" x14ac:dyDescent="0.15">
      <c r="A1203" s="2" t="s">
        <v>29</v>
      </c>
      <c r="B1203" s="2">
        <v>31702</v>
      </c>
      <c r="C1203" s="2" t="s">
        <v>45</v>
      </c>
      <c r="D1203" s="2" t="s">
        <v>38</v>
      </c>
      <c r="E1203" s="2" t="s">
        <v>56</v>
      </c>
    </row>
    <row r="1204" spans="1:5" ht="13" x14ac:dyDescent="0.15">
      <c r="A1204" s="2" t="s">
        <v>29</v>
      </c>
      <c r="B1204" s="2">
        <v>29678</v>
      </c>
      <c r="C1204" s="2" t="s">
        <v>46</v>
      </c>
      <c r="D1204" s="2" t="s">
        <v>37</v>
      </c>
      <c r="E1204" s="2" t="s">
        <v>56</v>
      </c>
    </row>
    <row r="1205" spans="1:5" ht="13" x14ac:dyDescent="0.15">
      <c r="A1205" s="2" t="s">
        <v>29</v>
      </c>
      <c r="B1205" s="2">
        <v>26834</v>
      </c>
      <c r="C1205" s="2" t="s">
        <v>46</v>
      </c>
      <c r="D1205" s="2" t="s">
        <v>38</v>
      </c>
      <c r="E1205" s="2" t="s">
        <v>56</v>
      </c>
    </row>
    <row r="1206" spans="1:5" ht="13" x14ac:dyDescent="0.15">
      <c r="A1206" s="2" t="s">
        <v>29</v>
      </c>
      <c r="B1206" s="2">
        <v>32494</v>
      </c>
      <c r="C1206" s="2" t="s">
        <v>47</v>
      </c>
      <c r="D1206" s="2" t="s">
        <v>37</v>
      </c>
      <c r="E1206" s="2" t="s">
        <v>56</v>
      </c>
    </row>
    <row r="1207" spans="1:5" ht="13" x14ac:dyDescent="0.15">
      <c r="A1207" s="2" t="s">
        <v>29</v>
      </c>
      <c r="B1207" s="2">
        <v>30171</v>
      </c>
      <c r="C1207" s="2" t="s">
        <v>47</v>
      </c>
      <c r="D1207" s="2" t="s">
        <v>38</v>
      </c>
      <c r="E1207" s="2" t="s">
        <v>56</v>
      </c>
    </row>
    <row r="1208" spans="1:5" ht="13" x14ac:dyDescent="0.15">
      <c r="A1208" s="2" t="s">
        <v>29</v>
      </c>
      <c r="B1208" s="2">
        <v>33022</v>
      </c>
      <c r="C1208" s="2" t="s">
        <v>48</v>
      </c>
      <c r="D1208" s="2" t="s">
        <v>37</v>
      </c>
      <c r="E1208" s="2" t="s">
        <v>56</v>
      </c>
    </row>
    <row r="1209" spans="1:5" ht="13" x14ac:dyDescent="0.15">
      <c r="A1209" s="2" t="s">
        <v>29</v>
      </c>
      <c r="B1209" s="2">
        <v>31056</v>
      </c>
      <c r="C1209" s="2" t="s">
        <v>48</v>
      </c>
      <c r="D1209" s="2" t="s">
        <v>38</v>
      </c>
      <c r="E1209" s="2" t="s">
        <v>56</v>
      </c>
    </row>
    <row r="1210" spans="1:5" ht="13" x14ac:dyDescent="0.15">
      <c r="A1210" s="2" t="s">
        <v>29</v>
      </c>
      <c r="B1210" s="2">
        <v>33784</v>
      </c>
      <c r="C1210" s="2" t="s">
        <v>49</v>
      </c>
      <c r="D1210" s="2" t="s">
        <v>37</v>
      </c>
      <c r="E1210" s="2" t="s">
        <v>56</v>
      </c>
    </row>
    <row r="1211" spans="1:5" ht="13" x14ac:dyDescent="0.15">
      <c r="A1211" s="2" t="s">
        <v>29</v>
      </c>
      <c r="B1211" s="2">
        <v>31531</v>
      </c>
      <c r="C1211" s="2" t="s">
        <v>49</v>
      </c>
      <c r="D1211" s="2" t="s">
        <v>38</v>
      </c>
      <c r="E1211" s="2" t="s">
        <v>56</v>
      </c>
    </row>
    <row r="1212" spans="1:5" ht="13" x14ac:dyDescent="0.15">
      <c r="A1212" s="2" t="s">
        <v>29</v>
      </c>
      <c r="B1212" s="2">
        <v>33221</v>
      </c>
      <c r="C1212" s="2" t="s">
        <v>50</v>
      </c>
      <c r="D1212" s="2" t="s">
        <v>37</v>
      </c>
      <c r="E1212" s="2" t="s">
        <v>56</v>
      </c>
    </row>
    <row r="1213" spans="1:5" ht="13" x14ac:dyDescent="0.15">
      <c r="A1213" s="2" t="s">
        <v>29</v>
      </c>
      <c r="B1213" s="2">
        <v>30857</v>
      </c>
      <c r="C1213" s="2" t="s">
        <v>50</v>
      </c>
      <c r="D1213" s="2" t="s">
        <v>38</v>
      </c>
      <c r="E1213" s="2" t="s">
        <v>56</v>
      </c>
    </row>
    <row r="1214" spans="1:5" ht="13" x14ac:dyDescent="0.15">
      <c r="A1214" s="2" t="s">
        <v>29</v>
      </c>
      <c r="B1214" s="2">
        <v>33567</v>
      </c>
      <c r="C1214" s="2" t="s">
        <v>51</v>
      </c>
      <c r="D1214" s="2" t="s">
        <v>37</v>
      </c>
      <c r="E1214" s="2" t="s">
        <v>56</v>
      </c>
    </row>
    <row r="1215" spans="1:5" ht="13" x14ac:dyDescent="0.15">
      <c r="A1215" s="2" t="s">
        <v>29</v>
      </c>
      <c r="B1215" s="2">
        <v>31864</v>
      </c>
      <c r="C1215" s="2" t="s">
        <v>51</v>
      </c>
      <c r="D1215" s="2" t="s">
        <v>38</v>
      </c>
      <c r="E1215" s="2" t="s">
        <v>56</v>
      </c>
    </row>
    <row r="1216" spans="1:5" ht="13" x14ac:dyDescent="0.15">
      <c r="A1216" s="2" t="s">
        <v>29</v>
      </c>
      <c r="B1216" s="2">
        <v>29748</v>
      </c>
      <c r="C1216" s="2" t="s">
        <v>52</v>
      </c>
      <c r="D1216" s="2" t="s">
        <v>37</v>
      </c>
      <c r="E1216" s="2" t="s">
        <v>56</v>
      </c>
    </row>
    <row r="1217" spans="1:5" ht="13" x14ac:dyDescent="0.15">
      <c r="A1217" s="2" t="s">
        <v>29</v>
      </c>
      <c r="B1217" s="2">
        <v>30312</v>
      </c>
      <c r="C1217" s="2" t="s">
        <v>52</v>
      </c>
      <c r="D1217" s="2" t="s">
        <v>38</v>
      </c>
      <c r="E1217" s="2" t="s">
        <v>56</v>
      </c>
    </row>
    <row r="1218" spans="1:5" ht="13" x14ac:dyDescent="0.15">
      <c r="A1218" s="2" t="s">
        <v>29</v>
      </c>
      <c r="B1218" s="2">
        <v>25273</v>
      </c>
      <c r="C1218" s="2" t="s">
        <v>53</v>
      </c>
      <c r="D1218" s="2" t="s">
        <v>37</v>
      </c>
      <c r="E1218" s="2" t="s">
        <v>56</v>
      </c>
    </row>
    <row r="1219" spans="1:5" ht="13" x14ac:dyDescent="0.15">
      <c r="A1219" s="2" t="s">
        <v>29</v>
      </c>
      <c r="B1219" s="2">
        <v>26862</v>
      </c>
      <c r="C1219" s="2" t="s">
        <v>53</v>
      </c>
      <c r="D1219" s="2" t="s">
        <v>38</v>
      </c>
      <c r="E1219" s="2" t="s">
        <v>56</v>
      </c>
    </row>
    <row r="1220" spans="1:5" ht="13" x14ac:dyDescent="0.15">
      <c r="A1220" s="2" t="s">
        <v>29</v>
      </c>
      <c r="B1220" s="2">
        <v>22673</v>
      </c>
      <c r="C1220" s="2" t="s">
        <v>54</v>
      </c>
      <c r="D1220" s="2" t="s">
        <v>37</v>
      </c>
      <c r="E1220" s="2" t="s">
        <v>56</v>
      </c>
    </row>
    <row r="1221" spans="1:5" ht="13" x14ac:dyDescent="0.15">
      <c r="A1221" s="2" t="s">
        <v>29</v>
      </c>
      <c r="B1221" s="2">
        <v>23383</v>
      </c>
      <c r="C1221" s="2" t="s">
        <v>54</v>
      </c>
      <c r="D1221" s="2" t="s">
        <v>38</v>
      </c>
      <c r="E1221" s="2" t="s">
        <v>56</v>
      </c>
    </row>
    <row r="1222" spans="1:5" ht="13" x14ac:dyDescent="0.15">
      <c r="A1222" s="2" t="s">
        <v>29</v>
      </c>
      <c r="B1222" s="2">
        <v>19554</v>
      </c>
      <c r="C1222" s="2" t="s">
        <v>55</v>
      </c>
      <c r="D1222" s="2" t="s">
        <v>37</v>
      </c>
      <c r="E1222" s="2" t="s">
        <v>56</v>
      </c>
    </row>
    <row r="1223" spans="1:5" ht="13" x14ac:dyDescent="0.15">
      <c r="A1223" s="2" t="s">
        <v>29</v>
      </c>
      <c r="B1223" s="2">
        <v>20921</v>
      </c>
      <c r="C1223" s="2" t="s">
        <v>55</v>
      </c>
      <c r="D1223" s="2" t="s">
        <v>38</v>
      </c>
      <c r="E1223" s="2" t="s">
        <v>56</v>
      </c>
    </row>
    <row r="1224" spans="1:5" ht="13" x14ac:dyDescent="0.15">
      <c r="A1224" s="2" t="s">
        <v>29</v>
      </c>
      <c r="B1224" s="2">
        <v>32679</v>
      </c>
      <c r="C1224" s="2" t="s">
        <v>42</v>
      </c>
      <c r="D1224" s="2" t="s">
        <v>37</v>
      </c>
      <c r="E1224" s="2" t="s">
        <v>57</v>
      </c>
    </row>
    <row r="1225" spans="1:5" ht="13" x14ac:dyDescent="0.15">
      <c r="A1225" s="2" t="s">
        <v>29</v>
      </c>
      <c r="B1225" s="2">
        <v>30523</v>
      </c>
      <c r="C1225" s="2" t="s">
        <v>42</v>
      </c>
      <c r="D1225" s="2" t="s">
        <v>38</v>
      </c>
      <c r="E1225" s="2" t="s">
        <v>57</v>
      </c>
    </row>
    <row r="1226" spans="1:5" ht="13" x14ac:dyDescent="0.15">
      <c r="A1226" s="2" t="s">
        <v>29</v>
      </c>
      <c r="B1226" s="2">
        <v>32747</v>
      </c>
      <c r="C1226" s="2" t="s">
        <v>44</v>
      </c>
      <c r="D1226" s="2" t="s">
        <v>37</v>
      </c>
      <c r="E1226" s="2" t="s">
        <v>57</v>
      </c>
    </row>
    <row r="1227" spans="1:5" ht="13" x14ac:dyDescent="0.15">
      <c r="A1227" s="2" t="s">
        <v>29</v>
      </c>
      <c r="B1227" s="2">
        <v>28502</v>
      </c>
      <c r="C1227" s="2" t="s">
        <v>44</v>
      </c>
      <c r="D1227" s="2" t="s">
        <v>38</v>
      </c>
      <c r="E1227" s="2" t="s">
        <v>57</v>
      </c>
    </row>
    <row r="1228" spans="1:5" ht="13" x14ac:dyDescent="0.15">
      <c r="A1228" s="2" t="s">
        <v>29</v>
      </c>
      <c r="B1228" s="2">
        <v>36346</v>
      </c>
      <c r="C1228" s="2" t="s">
        <v>45</v>
      </c>
      <c r="D1228" s="2" t="s">
        <v>37</v>
      </c>
      <c r="E1228" s="2" t="s">
        <v>57</v>
      </c>
    </row>
    <row r="1229" spans="1:5" ht="13" x14ac:dyDescent="0.15">
      <c r="A1229" s="2" t="s">
        <v>29</v>
      </c>
      <c r="B1229" s="2">
        <v>33806</v>
      </c>
      <c r="C1229" s="2" t="s">
        <v>45</v>
      </c>
      <c r="D1229" s="2" t="s">
        <v>38</v>
      </c>
      <c r="E1229" s="2" t="s">
        <v>57</v>
      </c>
    </row>
    <row r="1230" spans="1:5" ht="13" x14ac:dyDescent="0.15">
      <c r="A1230" s="2" t="s">
        <v>29</v>
      </c>
      <c r="B1230" s="2">
        <v>33856</v>
      </c>
      <c r="C1230" s="2" t="s">
        <v>46</v>
      </c>
      <c r="D1230" s="2" t="s">
        <v>37</v>
      </c>
      <c r="E1230" s="2" t="s">
        <v>57</v>
      </c>
    </row>
    <row r="1231" spans="1:5" ht="13" x14ac:dyDescent="0.15">
      <c r="A1231" s="2" t="s">
        <v>29</v>
      </c>
      <c r="B1231" s="2">
        <v>31280</v>
      </c>
      <c r="C1231" s="2" t="s">
        <v>46</v>
      </c>
      <c r="D1231" s="2" t="s">
        <v>38</v>
      </c>
      <c r="E1231" s="2" t="s">
        <v>57</v>
      </c>
    </row>
    <row r="1232" spans="1:5" ht="13" x14ac:dyDescent="0.15">
      <c r="A1232" s="2" t="s">
        <v>29</v>
      </c>
      <c r="B1232" s="2">
        <v>29217</v>
      </c>
      <c r="C1232" s="2" t="s">
        <v>47</v>
      </c>
      <c r="D1232" s="2" t="s">
        <v>37</v>
      </c>
      <c r="E1232" s="2" t="s">
        <v>57</v>
      </c>
    </row>
    <row r="1233" spans="1:5" ht="13" x14ac:dyDescent="0.15">
      <c r="A1233" s="2" t="s">
        <v>29</v>
      </c>
      <c r="B1233" s="2">
        <v>26505</v>
      </c>
      <c r="C1233" s="2" t="s">
        <v>47</v>
      </c>
      <c r="D1233" s="2" t="s">
        <v>38</v>
      </c>
      <c r="E1233" s="2" t="s">
        <v>57</v>
      </c>
    </row>
    <row r="1234" spans="1:5" ht="13" x14ac:dyDescent="0.15">
      <c r="A1234" s="2" t="s">
        <v>29</v>
      </c>
      <c r="B1234" s="2">
        <v>32125</v>
      </c>
      <c r="C1234" s="2" t="s">
        <v>48</v>
      </c>
      <c r="D1234" s="2" t="s">
        <v>37</v>
      </c>
      <c r="E1234" s="2" t="s">
        <v>57</v>
      </c>
    </row>
    <row r="1235" spans="1:5" ht="13" x14ac:dyDescent="0.15">
      <c r="A1235" s="2" t="s">
        <v>29</v>
      </c>
      <c r="B1235" s="2">
        <v>29827</v>
      </c>
      <c r="C1235" s="2" t="s">
        <v>48</v>
      </c>
      <c r="D1235" s="2" t="s">
        <v>38</v>
      </c>
      <c r="E1235" s="2" t="s">
        <v>57</v>
      </c>
    </row>
    <row r="1236" spans="1:5" ht="13" x14ac:dyDescent="0.15">
      <c r="A1236" s="2" t="s">
        <v>29</v>
      </c>
      <c r="B1236" s="2">
        <v>32250</v>
      </c>
      <c r="C1236" s="2" t="s">
        <v>49</v>
      </c>
      <c r="D1236" s="2" t="s">
        <v>37</v>
      </c>
      <c r="E1236" s="2" t="s">
        <v>57</v>
      </c>
    </row>
    <row r="1237" spans="1:5" ht="13" x14ac:dyDescent="0.15">
      <c r="A1237" s="2" t="s">
        <v>29</v>
      </c>
      <c r="B1237" s="2">
        <v>30763</v>
      </c>
      <c r="C1237" s="2" t="s">
        <v>49</v>
      </c>
      <c r="D1237" s="2" t="s">
        <v>38</v>
      </c>
      <c r="E1237" s="2" t="s">
        <v>57</v>
      </c>
    </row>
    <row r="1238" spans="1:5" ht="13" x14ac:dyDescent="0.15">
      <c r="A1238" s="2" t="s">
        <v>29</v>
      </c>
      <c r="B1238" s="2">
        <v>32366</v>
      </c>
      <c r="C1238" s="2" t="s">
        <v>50</v>
      </c>
      <c r="D1238" s="2" t="s">
        <v>37</v>
      </c>
      <c r="E1238" s="2" t="s">
        <v>57</v>
      </c>
    </row>
    <row r="1239" spans="1:5" ht="13" x14ac:dyDescent="0.15">
      <c r="A1239" s="2" t="s">
        <v>29</v>
      </c>
      <c r="B1239" s="2">
        <v>30177</v>
      </c>
      <c r="C1239" s="2" t="s">
        <v>50</v>
      </c>
      <c r="D1239" s="2" t="s">
        <v>38</v>
      </c>
      <c r="E1239" s="2" t="s">
        <v>57</v>
      </c>
    </row>
    <row r="1240" spans="1:5" ht="13" x14ac:dyDescent="0.15">
      <c r="A1240" s="2" t="s">
        <v>29</v>
      </c>
      <c r="B1240" s="2">
        <v>32111</v>
      </c>
      <c r="C1240" s="2" t="s">
        <v>51</v>
      </c>
      <c r="D1240" s="2" t="s">
        <v>37</v>
      </c>
      <c r="E1240" s="2" t="s">
        <v>57</v>
      </c>
    </row>
    <row r="1241" spans="1:5" ht="13" x14ac:dyDescent="0.15">
      <c r="A1241" s="2" t="s">
        <v>29</v>
      </c>
      <c r="B1241" s="2">
        <v>30278</v>
      </c>
      <c r="C1241" s="2" t="s">
        <v>51</v>
      </c>
      <c r="D1241" s="2" t="s">
        <v>38</v>
      </c>
      <c r="E1241" s="2" t="s">
        <v>57</v>
      </c>
    </row>
    <row r="1242" spans="1:5" ht="13" x14ac:dyDescent="0.15">
      <c r="A1242" s="2" t="s">
        <v>29</v>
      </c>
      <c r="B1242" s="2">
        <v>31733</v>
      </c>
      <c r="C1242" s="2" t="s">
        <v>52</v>
      </c>
      <c r="D1242" s="2" t="s">
        <v>37</v>
      </c>
      <c r="E1242" s="2" t="s">
        <v>57</v>
      </c>
    </row>
    <row r="1243" spans="1:5" ht="13" x14ac:dyDescent="0.15">
      <c r="A1243" s="2" t="s">
        <v>29</v>
      </c>
      <c r="B1243" s="2">
        <v>31074</v>
      </c>
      <c r="C1243" s="2" t="s">
        <v>52</v>
      </c>
      <c r="D1243" s="2" t="s">
        <v>38</v>
      </c>
      <c r="E1243" s="2" t="s">
        <v>57</v>
      </c>
    </row>
    <row r="1244" spans="1:5" ht="13" x14ac:dyDescent="0.15">
      <c r="A1244" s="2" t="s">
        <v>29</v>
      </c>
      <c r="B1244" s="2">
        <v>28298</v>
      </c>
      <c r="C1244" s="2" t="s">
        <v>53</v>
      </c>
      <c r="D1244" s="2" t="s">
        <v>37</v>
      </c>
      <c r="E1244" s="2" t="s">
        <v>57</v>
      </c>
    </row>
    <row r="1245" spans="1:5" ht="13" x14ac:dyDescent="0.15">
      <c r="A1245" s="2" t="s">
        <v>29</v>
      </c>
      <c r="B1245" s="2">
        <v>29611</v>
      </c>
      <c r="C1245" s="2" t="s">
        <v>53</v>
      </c>
      <c r="D1245" s="2" t="s">
        <v>38</v>
      </c>
      <c r="E1245" s="2" t="s">
        <v>57</v>
      </c>
    </row>
    <row r="1246" spans="1:5" ht="13" x14ac:dyDescent="0.15">
      <c r="A1246" s="2" t="s">
        <v>29</v>
      </c>
      <c r="B1246" s="2">
        <v>24356</v>
      </c>
      <c r="C1246" s="2" t="s">
        <v>54</v>
      </c>
      <c r="D1246" s="2" t="s">
        <v>37</v>
      </c>
      <c r="E1246" s="2" t="s">
        <v>57</v>
      </c>
    </row>
    <row r="1247" spans="1:5" ht="13" x14ac:dyDescent="0.15">
      <c r="A1247" s="2" t="s">
        <v>29</v>
      </c>
      <c r="B1247" s="2">
        <v>26473</v>
      </c>
      <c r="C1247" s="2" t="s">
        <v>54</v>
      </c>
      <c r="D1247" s="2" t="s">
        <v>38</v>
      </c>
      <c r="E1247" s="2" t="s">
        <v>57</v>
      </c>
    </row>
    <row r="1248" spans="1:5" ht="13" x14ac:dyDescent="0.15">
      <c r="A1248" s="2" t="s">
        <v>29</v>
      </c>
      <c r="B1248" s="2">
        <v>20783</v>
      </c>
      <c r="C1248" s="2" t="s">
        <v>55</v>
      </c>
      <c r="D1248" s="2" t="s">
        <v>37</v>
      </c>
      <c r="E1248" s="2" t="s">
        <v>57</v>
      </c>
    </row>
    <row r="1249" spans="1:5" ht="13" x14ac:dyDescent="0.15">
      <c r="A1249" s="2" t="s">
        <v>29</v>
      </c>
      <c r="B1249" s="2">
        <v>22315</v>
      </c>
      <c r="C1249" s="2" t="s">
        <v>55</v>
      </c>
      <c r="D1249" s="2" t="s">
        <v>38</v>
      </c>
      <c r="E1249" s="2" t="s">
        <v>57</v>
      </c>
    </row>
    <row r="1250" spans="1:5" ht="13" x14ac:dyDescent="0.15">
      <c r="A1250" s="2" t="s">
        <v>11</v>
      </c>
      <c r="B1250" s="2">
        <v>51985</v>
      </c>
      <c r="C1250" s="2" t="s">
        <v>42</v>
      </c>
      <c r="D1250" s="2" t="s">
        <v>37</v>
      </c>
      <c r="E1250" s="2" t="s">
        <v>43</v>
      </c>
    </row>
    <row r="1251" spans="1:5" ht="13" x14ac:dyDescent="0.15">
      <c r="A1251" s="2" t="s">
        <v>11</v>
      </c>
      <c r="B1251" s="2">
        <v>52295</v>
      </c>
      <c r="C1251" s="2" t="s">
        <v>42</v>
      </c>
      <c r="D1251" s="2" t="s">
        <v>38</v>
      </c>
      <c r="E1251" s="2" t="s">
        <v>43</v>
      </c>
    </row>
    <row r="1252" spans="1:5" ht="13" x14ac:dyDescent="0.15">
      <c r="A1252" s="2" t="s">
        <v>11</v>
      </c>
      <c r="B1252" s="2">
        <v>50206</v>
      </c>
      <c r="C1252" s="2" t="s">
        <v>44</v>
      </c>
      <c r="D1252" s="2" t="s">
        <v>37</v>
      </c>
      <c r="E1252" s="2" t="s">
        <v>43</v>
      </c>
    </row>
    <row r="1253" spans="1:5" ht="13" x14ac:dyDescent="0.15">
      <c r="A1253" s="2" t="s">
        <v>11</v>
      </c>
      <c r="B1253" s="2">
        <v>49137</v>
      </c>
      <c r="C1253" s="2" t="s">
        <v>44</v>
      </c>
      <c r="D1253" s="2" t="s">
        <v>38</v>
      </c>
      <c r="E1253" s="2" t="s">
        <v>43</v>
      </c>
    </row>
    <row r="1254" spans="1:5" ht="13" x14ac:dyDescent="0.15">
      <c r="A1254" s="2" t="s">
        <v>11</v>
      </c>
      <c r="B1254" s="2">
        <v>46713</v>
      </c>
      <c r="C1254" s="2" t="s">
        <v>45</v>
      </c>
      <c r="D1254" s="2" t="s">
        <v>37</v>
      </c>
      <c r="E1254" s="2" t="s">
        <v>43</v>
      </c>
    </row>
    <row r="1255" spans="1:5" ht="13" x14ac:dyDescent="0.15">
      <c r="A1255" s="2" t="s">
        <v>11</v>
      </c>
      <c r="B1255" s="2">
        <v>46213</v>
      </c>
      <c r="C1255" s="2" t="s">
        <v>45</v>
      </c>
      <c r="D1255" s="2" t="s">
        <v>38</v>
      </c>
      <c r="E1255" s="2" t="s">
        <v>43</v>
      </c>
    </row>
    <row r="1256" spans="1:5" ht="13" x14ac:dyDescent="0.15">
      <c r="A1256" s="2" t="s">
        <v>11</v>
      </c>
      <c r="B1256" s="2">
        <v>44024</v>
      </c>
      <c r="C1256" s="2" t="s">
        <v>46</v>
      </c>
      <c r="D1256" s="2" t="s">
        <v>37</v>
      </c>
      <c r="E1256" s="2" t="s">
        <v>43</v>
      </c>
    </row>
    <row r="1257" spans="1:5" ht="13" x14ac:dyDescent="0.15">
      <c r="A1257" s="2" t="s">
        <v>11</v>
      </c>
      <c r="B1257" s="2">
        <v>43753</v>
      </c>
      <c r="C1257" s="2" t="s">
        <v>46</v>
      </c>
      <c r="D1257" s="2" t="s">
        <v>38</v>
      </c>
      <c r="E1257" s="2" t="s">
        <v>43</v>
      </c>
    </row>
    <row r="1258" spans="1:5" ht="13" x14ac:dyDescent="0.15">
      <c r="A1258" s="2" t="s">
        <v>11</v>
      </c>
      <c r="B1258" s="2">
        <v>40514</v>
      </c>
      <c r="C1258" s="2" t="s">
        <v>47</v>
      </c>
      <c r="D1258" s="2" t="s">
        <v>37</v>
      </c>
      <c r="E1258" s="2" t="s">
        <v>43</v>
      </c>
    </row>
    <row r="1259" spans="1:5" ht="13" x14ac:dyDescent="0.15">
      <c r="A1259" s="2" t="s">
        <v>11</v>
      </c>
      <c r="B1259" s="2">
        <v>41388</v>
      </c>
      <c r="C1259" s="2" t="s">
        <v>47</v>
      </c>
      <c r="D1259" s="2" t="s">
        <v>38</v>
      </c>
      <c r="E1259" s="2" t="s">
        <v>43</v>
      </c>
    </row>
    <row r="1260" spans="1:5" ht="13" x14ac:dyDescent="0.15">
      <c r="A1260" s="2" t="s">
        <v>11</v>
      </c>
      <c r="B1260" s="2">
        <v>38351</v>
      </c>
      <c r="C1260" s="2" t="s">
        <v>48</v>
      </c>
      <c r="D1260" s="2" t="s">
        <v>37</v>
      </c>
      <c r="E1260" s="2" t="s">
        <v>43</v>
      </c>
    </row>
    <row r="1261" spans="1:5" ht="13" x14ac:dyDescent="0.15">
      <c r="A1261" s="2" t="s">
        <v>11</v>
      </c>
      <c r="B1261" s="2">
        <v>40389</v>
      </c>
      <c r="C1261" s="2" t="s">
        <v>48</v>
      </c>
      <c r="D1261" s="2" t="s">
        <v>38</v>
      </c>
      <c r="E1261" s="2" t="s">
        <v>43</v>
      </c>
    </row>
    <row r="1262" spans="1:5" ht="13" x14ac:dyDescent="0.15">
      <c r="A1262" s="2" t="s">
        <v>11</v>
      </c>
      <c r="B1262" s="2">
        <v>35372</v>
      </c>
      <c r="C1262" s="2" t="s">
        <v>49</v>
      </c>
      <c r="D1262" s="2" t="s">
        <v>37</v>
      </c>
      <c r="E1262" s="2" t="s">
        <v>43</v>
      </c>
    </row>
    <row r="1263" spans="1:5" ht="13" x14ac:dyDescent="0.15">
      <c r="A1263" s="2" t="s">
        <v>11</v>
      </c>
      <c r="B1263" s="2">
        <v>38770</v>
      </c>
      <c r="C1263" s="2" t="s">
        <v>49</v>
      </c>
      <c r="D1263" s="2" t="s">
        <v>38</v>
      </c>
      <c r="E1263" s="2" t="s">
        <v>43</v>
      </c>
    </row>
    <row r="1264" spans="1:5" ht="13" x14ac:dyDescent="0.15">
      <c r="A1264" s="2" t="s">
        <v>11</v>
      </c>
      <c r="B1264" s="2">
        <v>28453</v>
      </c>
      <c r="C1264" s="2" t="s">
        <v>50</v>
      </c>
      <c r="D1264" s="2" t="s">
        <v>37</v>
      </c>
      <c r="E1264" s="2" t="s">
        <v>43</v>
      </c>
    </row>
    <row r="1265" spans="1:5" ht="13" x14ac:dyDescent="0.15">
      <c r="A1265" s="2" t="s">
        <v>11</v>
      </c>
      <c r="B1265" s="2">
        <v>32446</v>
      </c>
      <c r="C1265" s="2" t="s">
        <v>50</v>
      </c>
      <c r="D1265" s="2" t="s">
        <v>38</v>
      </c>
      <c r="E1265" s="2" t="s">
        <v>43</v>
      </c>
    </row>
    <row r="1266" spans="1:5" ht="13" x14ac:dyDescent="0.15">
      <c r="A1266" s="2" t="s">
        <v>11</v>
      </c>
      <c r="B1266" s="2">
        <v>23487</v>
      </c>
      <c r="C1266" s="2" t="s">
        <v>51</v>
      </c>
      <c r="D1266" s="2" t="s">
        <v>37</v>
      </c>
      <c r="E1266" s="2" t="s">
        <v>43</v>
      </c>
    </row>
    <row r="1267" spans="1:5" ht="13" x14ac:dyDescent="0.15">
      <c r="A1267" s="2" t="s">
        <v>11</v>
      </c>
      <c r="B1267" s="2">
        <v>28061</v>
      </c>
      <c r="C1267" s="2" t="s">
        <v>51</v>
      </c>
      <c r="D1267" s="2" t="s">
        <v>38</v>
      </c>
      <c r="E1267" s="2" t="s">
        <v>43</v>
      </c>
    </row>
    <row r="1268" spans="1:5" ht="13" x14ac:dyDescent="0.15">
      <c r="A1268" s="2" t="s">
        <v>11</v>
      </c>
      <c r="B1268" s="2">
        <v>19705</v>
      </c>
      <c r="C1268" s="2" t="s">
        <v>52</v>
      </c>
      <c r="D1268" s="2" t="s">
        <v>37</v>
      </c>
      <c r="E1268" s="2" t="s">
        <v>43</v>
      </c>
    </row>
    <row r="1269" spans="1:5" ht="13" x14ac:dyDescent="0.15">
      <c r="A1269" s="2" t="s">
        <v>11</v>
      </c>
      <c r="B1269" s="2">
        <v>24864</v>
      </c>
      <c r="C1269" s="2" t="s">
        <v>52</v>
      </c>
      <c r="D1269" s="2" t="s">
        <v>38</v>
      </c>
      <c r="E1269" s="2" t="s">
        <v>43</v>
      </c>
    </row>
    <row r="1270" spans="1:5" ht="13" x14ac:dyDescent="0.15">
      <c r="A1270" s="2" t="s">
        <v>11</v>
      </c>
      <c r="B1270" s="2">
        <v>16223</v>
      </c>
      <c r="C1270" s="2" t="s">
        <v>53</v>
      </c>
      <c r="D1270" s="2" t="s">
        <v>37</v>
      </c>
      <c r="E1270" s="2" t="s">
        <v>43</v>
      </c>
    </row>
    <row r="1271" spans="1:5" ht="13" x14ac:dyDescent="0.15">
      <c r="A1271" s="2" t="s">
        <v>11</v>
      </c>
      <c r="B1271" s="2">
        <v>22118</v>
      </c>
      <c r="C1271" s="2" t="s">
        <v>53</v>
      </c>
      <c r="D1271" s="2" t="s">
        <v>38</v>
      </c>
      <c r="E1271" s="2" t="s">
        <v>43</v>
      </c>
    </row>
    <row r="1272" spans="1:5" ht="13" x14ac:dyDescent="0.15">
      <c r="A1272" s="2" t="s">
        <v>11</v>
      </c>
      <c r="B1272" s="2">
        <v>11736</v>
      </c>
      <c r="C1272" s="2" t="s">
        <v>54</v>
      </c>
      <c r="D1272" s="2" t="s">
        <v>37</v>
      </c>
      <c r="E1272" s="2" t="s">
        <v>43</v>
      </c>
    </row>
    <row r="1273" spans="1:5" ht="13" x14ac:dyDescent="0.15">
      <c r="A1273" s="2" t="s">
        <v>11</v>
      </c>
      <c r="B1273" s="2">
        <v>15652</v>
      </c>
      <c r="C1273" s="2" t="s">
        <v>54</v>
      </c>
      <c r="D1273" s="2" t="s">
        <v>38</v>
      </c>
      <c r="E1273" s="2" t="s">
        <v>43</v>
      </c>
    </row>
    <row r="1274" spans="1:5" ht="13" x14ac:dyDescent="0.15">
      <c r="A1274" s="2" t="s">
        <v>11</v>
      </c>
      <c r="B1274" s="2">
        <v>8673</v>
      </c>
      <c r="C1274" s="2" t="s">
        <v>55</v>
      </c>
      <c r="D1274" s="2" t="s">
        <v>37</v>
      </c>
      <c r="E1274" s="2" t="s">
        <v>43</v>
      </c>
    </row>
    <row r="1275" spans="1:5" ht="13" x14ac:dyDescent="0.15">
      <c r="A1275" s="2" t="s">
        <v>11</v>
      </c>
      <c r="B1275" s="2">
        <v>12279</v>
      </c>
      <c r="C1275" s="2" t="s">
        <v>55</v>
      </c>
      <c r="D1275" s="2" t="s">
        <v>38</v>
      </c>
      <c r="E1275" s="2" t="s">
        <v>43</v>
      </c>
    </row>
    <row r="1276" spans="1:5" ht="13" x14ac:dyDescent="0.15">
      <c r="A1276" s="2" t="s">
        <v>11</v>
      </c>
      <c r="B1276" s="2">
        <v>52637</v>
      </c>
      <c r="C1276" s="2" t="s">
        <v>42</v>
      </c>
      <c r="D1276" s="2" t="s">
        <v>37</v>
      </c>
      <c r="E1276" s="2" t="s">
        <v>56</v>
      </c>
    </row>
    <row r="1277" spans="1:5" ht="13" x14ac:dyDescent="0.15">
      <c r="A1277" s="2" t="s">
        <v>11</v>
      </c>
      <c r="B1277" s="2">
        <v>52530</v>
      </c>
      <c r="C1277" s="2" t="s">
        <v>42</v>
      </c>
      <c r="D1277" s="2" t="s">
        <v>38</v>
      </c>
      <c r="E1277" s="2" t="s">
        <v>56</v>
      </c>
    </row>
    <row r="1278" spans="1:5" ht="13" x14ac:dyDescent="0.15">
      <c r="A1278" s="2" t="s">
        <v>11</v>
      </c>
      <c r="B1278" s="2">
        <v>52244</v>
      </c>
      <c r="C1278" s="2" t="s">
        <v>44</v>
      </c>
      <c r="D1278" s="2" t="s">
        <v>37</v>
      </c>
      <c r="E1278" s="2" t="s">
        <v>56</v>
      </c>
    </row>
    <row r="1279" spans="1:5" ht="13" x14ac:dyDescent="0.15">
      <c r="A1279" s="2" t="s">
        <v>11</v>
      </c>
      <c r="B1279" s="2">
        <v>51255</v>
      </c>
      <c r="C1279" s="2" t="s">
        <v>44</v>
      </c>
      <c r="D1279" s="2" t="s">
        <v>38</v>
      </c>
      <c r="E1279" s="2" t="s">
        <v>56</v>
      </c>
    </row>
    <row r="1280" spans="1:5" ht="13" x14ac:dyDescent="0.15">
      <c r="A1280" s="2" t="s">
        <v>11</v>
      </c>
      <c r="B1280" s="2">
        <v>47630</v>
      </c>
      <c r="C1280" s="2" t="s">
        <v>45</v>
      </c>
      <c r="D1280" s="2" t="s">
        <v>37</v>
      </c>
      <c r="E1280" s="2" t="s">
        <v>56</v>
      </c>
    </row>
    <row r="1281" spans="1:5" ht="13" x14ac:dyDescent="0.15">
      <c r="A1281" s="2" t="s">
        <v>11</v>
      </c>
      <c r="B1281" s="2">
        <v>46573</v>
      </c>
      <c r="C1281" s="2" t="s">
        <v>45</v>
      </c>
      <c r="D1281" s="2" t="s">
        <v>38</v>
      </c>
      <c r="E1281" s="2" t="s">
        <v>56</v>
      </c>
    </row>
    <row r="1282" spans="1:5" ht="13" x14ac:dyDescent="0.15">
      <c r="A1282" s="2" t="s">
        <v>11</v>
      </c>
      <c r="B1282" s="2">
        <v>43660</v>
      </c>
      <c r="C1282" s="2" t="s">
        <v>46</v>
      </c>
      <c r="D1282" s="2" t="s">
        <v>37</v>
      </c>
      <c r="E1282" s="2" t="s">
        <v>56</v>
      </c>
    </row>
    <row r="1283" spans="1:5" ht="13" x14ac:dyDescent="0.15">
      <c r="A1283" s="2" t="s">
        <v>11</v>
      </c>
      <c r="B1283" s="2">
        <v>43309</v>
      </c>
      <c r="C1283" s="2" t="s">
        <v>46</v>
      </c>
      <c r="D1283" s="2" t="s">
        <v>38</v>
      </c>
      <c r="E1283" s="2" t="s">
        <v>56</v>
      </c>
    </row>
    <row r="1284" spans="1:5" ht="13" x14ac:dyDescent="0.15">
      <c r="A1284" s="2" t="s">
        <v>11</v>
      </c>
      <c r="B1284" s="2">
        <v>40821</v>
      </c>
      <c r="C1284" s="2" t="s">
        <v>47</v>
      </c>
      <c r="D1284" s="2" t="s">
        <v>37</v>
      </c>
      <c r="E1284" s="2" t="s">
        <v>56</v>
      </c>
    </row>
    <row r="1285" spans="1:5" ht="13" x14ac:dyDescent="0.15">
      <c r="A1285" s="2" t="s">
        <v>11</v>
      </c>
      <c r="B1285" s="2">
        <v>40902</v>
      </c>
      <c r="C1285" s="2" t="s">
        <v>47</v>
      </c>
      <c r="D1285" s="2" t="s">
        <v>38</v>
      </c>
      <c r="E1285" s="2" t="s">
        <v>56</v>
      </c>
    </row>
    <row r="1286" spans="1:5" ht="13" x14ac:dyDescent="0.15">
      <c r="A1286" s="2" t="s">
        <v>11</v>
      </c>
      <c r="B1286" s="2">
        <v>37387</v>
      </c>
      <c r="C1286" s="2" t="s">
        <v>48</v>
      </c>
      <c r="D1286" s="2" t="s">
        <v>37</v>
      </c>
      <c r="E1286" s="2" t="s">
        <v>56</v>
      </c>
    </row>
    <row r="1287" spans="1:5" ht="13" x14ac:dyDescent="0.15">
      <c r="A1287" s="2" t="s">
        <v>11</v>
      </c>
      <c r="B1287" s="2">
        <v>39159</v>
      </c>
      <c r="C1287" s="2" t="s">
        <v>48</v>
      </c>
      <c r="D1287" s="2" t="s">
        <v>38</v>
      </c>
      <c r="E1287" s="2" t="s">
        <v>56</v>
      </c>
    </row>
    <row r="1288" spans="1:5" ht="13" x14ac:dyDescent="0.15">
      <c r="A1288" s="2" t="s">
        <v>11</v>
      </c>
      <c r="B1288" s="2">
        <v>35226</v>
      </c>
      <c r="C1288" s="2" t="s">
        <v>49</v>
      </c>
      <c r="D1288" s="2" t="s">
        <v>37</v>
      </c>
      <c r="E1288" s="2" t="s">
        <v>56</v>
      </c>
    </row>
    <row r="1289" spans="1:5" ht="13" x14ac:dyDescent="0.15">
      <c r="A1289" s="2" t="s">
        <v>11</v>
      </c>
      <c r="B1289" s="2">
        <v>38440</v>
      </c>
      <c r="C1289" s="2" t="s">
        <v>49</v>
      </c>
      <c r="D1289" s="2" t="s">
        <v>38</v>
      </c>
      <c r="E1289" s="2" t="s">
        <v>56</v>
      </c>
    </row>
    <row r="1290" spans="1:5" ht="13" x14ac:dyDescent="0.15">
      <c r="A1290" s="2" t="s">
        <v>11</v>
      </c>
      <c r="B1290" s="2">
        <v>30223</v>
      </c>
      <c r="C1290" s="2" t="s">
        <v>50</v>
      </c>
      <c r="D1290" s="2" t="s">
        <v>37</v>
      </c>
      <c r="E1290" s="2" t="s">
        <v>56</v>
      </c>
    </row>
    <row r="1291" spans="1:5" ht="13" x14ac:dyDescent="0.15">
      <c r="A1291" s="2" t="s">
        <v>11</v>
      </c>
      <c r="B1291" s="2">
        <v>33221</v>
      </c>
      <c r="C1291" s="2" t="s">
        <v>50</v>
      </c>
      <c r="D1291" s="2" t="s">
        <v>38</v>
      </c>
      <c r="E1291" s="2" t="s">
        <v>56</v>
      </c>
    </row>
    <row r="1292" spans="1:5" ht="13" x14ac:dyDescent="0.15">
      <c r="A1292" s="2" t="s">
        <v>11</v>
      </c>
      <c r="B1292" s="2">
        <v>26073</v>
      </c>
      <c r="C1292" s="2" t="s">
        <v>51</v>
      </c>
      <c r="D1292" s="2" t="s">
        <v>37</v>
      </c>
      <c r="E1292" s="2" t="s">
        <v>56</v>
      </c>
    </row>
    <row r="1293" spans="1:5" ht="13" x14ac:dyDescent="0.15">
      <c r="A1293" s="2" t="s">
        <v>11</v>
      </c>
      <c r="B1293" s="2">
        <v>31189</v>
      </c>
      <c r="C1293" s="2" t="s">
        <v>51</v>
      </c>
      <c r="D1293" s="2" t="s">
        <v>38</v>
      </c>
      <c r="E1293" s="2" t="s">
        <v>56</v>
      </c>
    </row>
    <row r="1294" spans="1:5" ht="13" x14ac:dyDescent="0.15">
      <c r="A1294" s="2" t="s">
        <v>11</v>
      </c>
      <c r="B1294" s="2">
        <v>21489</v>
      </c>
      <c r="C1294" s="2" t="s">
        <v>52</v>
      </c>
      <c r="D1294" s="2" t="s">
        <v>37</v>
      </c>
      <c r="E1294" s="2" t="s">
        <v>56</v>
      </c>
    </row>
    <row r="1295" spans="1:5" ht="13" x14ac:dyDescent="0.15">
      <c r="A1295" s="2" t="s">
        <v>11</v>
      </c>
      <c r="B1295" s="2">
        <v>26635</v>
      </c>
      <c r="C1295" s="2" t="s">
        <v>52</v>
      </c>
      <c r="D1295" s="2" t="s">
        <v>38</v>
      </c>
      <c r="E1295" s="2" t="s">
        <v>56</v>
      </c>
    </row>
    <row r="1296" spans="1:5" ht="13" x14ac:dyDescent="0.15">
      <c r="A1296" s="2" t="s">
        <v>11</v>
      </c>
      <c r="B1296" s="2">
        <v>18457</v>
      </c>
      <c r="C1296" s="2" t="s">
        <v>53</v>
      </c>
      <c r="D1296" s="2" t="s">
        <v>37</v>
      </c>
      <c r="E1296" s="2" t="s">
        <v>56</v>
      </c>
    </row>
    <row r="1297" spans="1:5" ht="13" x14ac:dyDescent="0.15">
      <c r="A1297" s="2" t="s">
        <v>11</v>
      </c>
      <c r="B1297" s="2">
        <v>23666</v>
      </c>
      <c r="C1297" s="2" t="s">
        <v>53</v>
      </c>
      <c r="D1297" s="2" t="s">
        <v>38</v>
      </c>
      <c r="E1297" s="2" t="s">
        <v>56</v>
      </c>
    </row>
    <row r="1298" spans="1:5" ht="13" x14ac:dyDescent="0.15">
      <c r="A1298" s="2" t="s">
        <v>11</v>
      </c>
      <c r="B1298" s="2">
        <v>13884</v>
      </c>
      <c r="C1298" s="2" t="s">
        <v>54</v>
      </c>
      <c r="D1298" s="2" t="s">
        <v>37</v>
      </c>
      <c r="E1298" s="2" t="s">
        <v>56</v>
      </c>
    </row>
    <row r="1299" spans="1:5" ht="13" x14ac:dyDescent="0.15">
      <c r="A1299" s="2" t="s">
        <v>11</v>
      </c>
      <c r="B1299" s="2">
        <v>18871</v>
      </c>
      <c r="C1299" s="2" t="s">
        <v>54</v>
      </c>
      <c r="D1299" s="2" t="s">
        <v>38</v>
      </c>
      <c r="E1299" s="2" t="s">
        <v>56</v>
      </c>
    </row>
    <row r="1300" spans="1:5" ht="13" x14ac:dyDescent="0.15">
      <c r="A1300" s="2" t="s">
        <v>11</v>
      </c>
      <c r="B1300" s="2">
        <v>10670</v>
      </c>
      <c r="C1300" s="2" t="s">
        <v>55</v>
      </c>
      <c r="D1300" s="2" t="s">
        <v>37</v>
      </c>
      <c r="E1300" s="2" t="s">
        <v>56</v>
      </c>
    </row>
    <row r="1301" spans="1:5" ht="13" x14ac:dyDescent="0.15">
      <c r="A1301" s="2" t="s">
        <v>11</v>
      </c>
      <c r="B1301" s="2">
        <v>14530</v>
      </c>
      <c r="C1301" s="2" t="s">
        <v>55</v>
      </c>
      <c r="D1301" s="2" t="s">
        <v>38</v>
      </c>
      <c r="E1301" s="2" t="s">
        <v>56</v>
      </c>
    </row>
    <row r="1302" spans="1:5" ht="13" x14ac:dyDescent="0.15">
      <c r="A1302" s="2" t="s">
        <v>11</v>
      </c>
      <c r="B1302" s="2">
        <v>47135</v>
      </c>
      <c r="C1302" s="2" t="s">
        <v>42</v>
      </c>
      <c r="D1302" s="2" t="s">
        <v>37</v>
      </c>
      <c r="E1302" s="2" t="s">
        <v>57</v>
      </c>
    </row>
    <row r="1303" spans="1:5" ht="13" x14ac:dyDescent="0.15">
      <c r="A1303" s="2" t="s">
        <v>11</v>
      </c>
      <c r="B1303" s="2">
        <v>46965</v>
      </c>
      <c r="C1303" s="2" t="s">
        <v>42</v>
      </c>
      <c r="D1303" s="2" t="s">
        <v>38</v>
      </c>
      <c r="E1303" s="2" t="s">
        <v>57</v>
      </c>
    </row>
    <row r="1304" spans="1:5" ht="13" x14ac:dyDescent="0.15">
      <c r="A1304" s="2" t="s">
        <v>11</v>
      </c>
      <c r="B1304" s="2">
        <v>49912</v>
      </c>
      <c r="C1304" s="2" t="s">
        <v>44</v>
      </c>
      <c r="D1304" s="2" t="s">
        <v>37</v>
      </c>
      <c r="E1304" s="2" t="s">
        <v>57</v>
      </c>
    </row>
    <row r="1305" spans="1:5" ht="13" x14ac:dyDescent="0.15">
      <c r="A1305" s="2" t="s">
        <v>11</v>
      </c>
      <c r="B1305" s="2">
        <v>48604</v>
      </c>
      <c r="C1305" s="2" t="s">
        <v>44</v>
      </c>
      <c r="D1305" s="2" t="s">
        <v>38</v>
      </c>
      <c r="E1305" s="2" t="s">
        <v>57</v>
      </c>
    </row>
    <row r="1306" spans="1:5" ht="13" x14ac:dyDescent="0.15">
      <c r="A1306" s="2" t="s">
        <v>11</v>
      </c>
      <c r="B1306" s="2">
        <v>47070</v>
      </c>
      <c r="C1306" s="2" t="s">
        <v>45</v>
      </c>
      <c r="D1306" s="2" t="s">
        <v>37</v>
      </c>
      <c r="E1306" s="2" t="s">
        <v>57</v>
      </c>
    </row>
    <row r="1307" spans="1:5" ht="13" x14ac:dyDescent="0.15">
      <c r="A1307" s="2" t="s">
        <v>11</v>
      </c>
      <c r="B1307" s="2">
        <v>46415</v>
      </c>
      <c r="C1307" s="2" t="s">
        <v>45</v>
      </c>
      <c r="D1307" s="2" t="s">
        <v>38</v>
      </c>
      <c r="E1307" s="2" t="s">
        <v>57</v>
      </c>
    </row>
    <row r="1308" spans="1:5" ht="13" x14ac:dyDescent="0.15">
      <c r="A1308" s="2" t="s">
        <v>11</v>
      </c>
      <c r="B1308" s="2">
        <v>43305</v>
      </c>
      <c r="C1308" s="2" t="s">
        <v>46</v>
      </c>
      <c r="D1308" s="2" t="s">
        <v>37</v>
      </c>
      <c r="E1308" s="2" t="s">
        <v>57</v>
      </c>
    </row>
    <row r="1309" spans="1:5" ht="13" x14ac:dyDescent="0.15">
      <c r="A1309" s="2" t="s">
        <v>11</v>
      </c>
      <c r="B1309" s="2">
        <v>42552</v>
      </c>
      <c r="C1309" s="2" t="s">
        <v>46</v>
      </c>
      <c r="D1309" s="2" t="s">
        <v>38</v>
      </c>
      <c r="E1309" s="2" t="s">
        <v>57</v>
      </c>
    </row>
    <row r="1310" spans="1:5" ht="13" x14ac:dyDescent="0.15">
      <c r="A1310" s="2" t="s">
        <v>11</v>
      </c>
      <c r="B1310" s="2">
        <v>39695</v>
      </c>
      <c r="C1310" s="2" t="s">
        <v>47</v>
      </c>
      <c r="D1310" s="2" t="s">
        <v>37</v>
      </c>
      <c r="E1310" s="2" t="s">
        <v>57</v>
      </c>
    </row>
    <row r="1311" spans="1:5" ht="13" x14ac:dyDescent="0.15">
      <c r="A1311" s="2" t="s">
        <v>11</v>
      </c>
      <c r="B1311" s="2">
        <v>39824</v>
      </c>
      <c r="C1311" s="2" t="s">
        <v>47</v>
      </c>
      <c r="D1311" s="2" t="s">
        <v>38</v>
      </c>
      <c r="E1311" s="2" t="s">
        <v>57</v>
      </c>
    </row>
    <row r="1312" spans="1:5" ht="13" x14ac:dyDescent="0.15">
      <c r="A1312" s="2" t="s">
        <v>11</v>
      </c>
      <c r="B1312" s="2">
        <v>36639</v>
      </c>
      <c r="C1312" s="2" t="s">
        <v>48</v>
      </c>
      <c r="D1312" s="2" t="s">
        <v>37</v>
      </c>
      <c r="E1312" s="2" t="s">
        <v>57</v>
      </c>
    </row>
    <row r="1313" spans="1:5" ht="13" x14ac:dyDescent="0.15">
      <c r="A1313" s="2" t="s">
        <v>11</v>
      </c>
      <c r="B1313" s="2">
        <v>37676</v>
      </c>
      <c r="C1313" s="2" t="s">
        <v>48</v>
      </c>
      <c r="D1313" s="2" t="s">
        <v>38</v>
      </c>
      <c r="E1313" s="2" t="s">
        <v>57</v>
      </c>
    </row>
    <row r="1314" spans="1:5" ht="13" x14ac:dyDescent="0.15">
      <c r="A1314" s="2" t="s">
        <v>11</v>
      </c>
      <c r="B1314" s="2">
        <v>33567</v>
      </c>
      <c r="C1314" s="2" t="s">
        <v>49</v>
      </c>
      <c r="D1314" s="2" t="s">
        <v>37</v>
      </c>
      <c r="E1314" s="2" t="s">
        <v>57</v>
      </c>
    </row>
    <row r="1315" spans="1:5" ht="13" x14ac:dyDescent="0.15">
      <c r="A1315" s="2" t="s">
        <v>11</v>
      </c>
      <c r="B1315" s="2">
        <v>36474</v>
      </c>
      <c r="C1315" s="2" t="s">
        <v>49</v>
      </c>
      <c r="D1315" s="2" t="s">
        <v>38</v>
      </c>
      <c r="E1315" s="2" t="s">
        <v>57</v>
      </c>
    </row>
    <row r="1316" spans="1:5" ht="13" x14ac:dyDescent="0.15">
      <c r="A1316" s="2" t="s">
        <v>11</v>
      </c>
      <c r="B1316" s="2">
        <v>26704</v>
      </c>
      <c r="C1316" s="2" t="s">
        <v>50</v>
      </c>
      <c r="D1316" s="2" t="s">
        <v>37</v>
      </c>
      <c r="E1316" s="2" t="s">
        <v>57</v>
      </c>
    </row>
    <row r="1317" spans="1:5" ht="13" x14ac:dyDescent="0.15">
      <c r="A1317" s="2" t="s">
        <v>11</v>
      </c>
      <c r="B1317" s="2">
        <v>30697</v>
      </c>
      <c r="C1317" s="2" t="s">
        <v>50</v>
      </c>
      <c r="D1317" s="2" t="s">
        <v>38</v>
      </c>
      <c r="E1317" s="2" t="s">
        <v>57</v>
      </c>
    </row>
    <row r="1318" spans="1:5" ht="13" x14ac:dyDescent="0.15">
      <c r="A1318" s="2" t="s">
        <v>11</v>
      </c>
      <c r="B1318" s="2">
        <v>25462</v>
      </c>
      <c r="C1318" s="2" t="s">
        <v>51</v>
      </c>
      <c r="D1318" s="2" t="s">
        <v>37</v>
      </c>
      <c r="E1318" s="2" t="s">
        <v>57</v>
      </c>
    </row>
    <row r="1319" spans="1:5" ht="13" x14ac:dyDescent="0.15">
      <c r="A1319" s="2" t="s">
        <v>11</v>
      </c>
      <c r="B1319" s="2">
        <v>30007</v>
      </c>
      <c r="C1319" s="2" t="s">
        <v>51</v>
      </c>
      <c r="D1319" s="2" t="s">
        <v>38</v>
      </c>
      <c r="E1319" s="2" t="s">
        <v>57</v>
      </c>
    </row>
    <row r="1320" spans="1:5" ht="13" x14ac:dyDescent="0.15">
      <c r="A1320" s="2" t="s">
        <v>11</v>
      </c>
      <c r="B1320" s="2">
        <v>22775</v>
      </c>
      <c r="C1320" s="2" t="s">
        <v>52</v>
      </c>
      <c r="D1320" s="2" t="s">
        <v>37</v>
      </c>
      <c r="E1320" s="2" t="s">
        <v>57</v>
      </c>
    </row>
    <row r="1321" spans="1:5" ht="13" x14ac:dyDescent="0.15">
      <c r="A1321" s="2" t="s">
        <v>11</v>
      </c>
      <c r="B1321" s="2">
        <v>28749</v>
      </c>
      <c r="C1321" s="2" t="s">
        <v>52</v>
      </c>
      <c r="D1321" s="2" t="s">
        <v>38</v>
      </c>
      <c r="E1321" s="2" t="s">
        <v>57</v>
      </c>
    </row>
    <row r="1322" spans="1:5" ht="13" x14ac:dyDescent="0.15">
      <c r="A1322" s="2" t="s">
        <v>11</v>
      </c>
      <c r="B1322" s="2">
        <v>19167</v>
      </c>
      <c r="C1322" s="2" t="s">
        <v>53</v>
      </c>
      <c r="D1322" s="2" t="s">
        <v>37</v>
      </c>
      <c r="E1322" s="2" t="s">
        <v>57</v>
      </c>
    </row>
    <row r="1323" spans="1:5" ht="13" x14ac:dyDescent="0.15">
      <c r="A1323" s="2" t="s">
        <v>11</v>
      </c>
      <c r="B1323" s="2">
        <v>24787</v>
      </c>
      <c r="C1323" s="2" t="s">
        <v>53</v>
      </c>
      <c r="D1323" s="2" t="s">
        <v>38</v>
      </c>
      <c r="E1323" s="2" t="s">
        <v>57</v>
      </c>
    </row>
    <row r="1324" spans="1:5" ht="13" x14ac:dyDescent="0.15">
      <c r="A1324" s="2" t="s">
        <v>11</v>
      </c>
      <c r="B1324" s="2">
        <v>15706</v>
      </c>
      <c r="C1324" s="2" t="s">
        <v>54</v>
      </c>
      <c r="D1324" s="2" t="s">
        <v>37</v>
      </c>
      <c r="E1324" s="2" t="s">
        <v>57</v>
      </c>
    </row>
    <row r="1325" spans="1:5" ht="13" x14ac:dyDescent="0.15">
      <c r="A1325" s="2" t="s">
        <v>11</v>
      </c>
      <c r="B1325" s="2">
        <v>20451</v>
      </c>
      <c r="C1325" s="2" t="s">
        <v>54</v>
      </c>
      <c r="D1325" s="2" t="s">
        <v>38</v>
      </c>
      <c r="E1325" s="2" t="s">
        <v>57</v>
      </c>
    </row>
    <row r="1326" spans="1:5" ht="13" x14ac:dyDescent="0.15">
      <c r="A1326" s="2" t="s">
        <v>11</v>
      </c>
      <c r="B1326" s="2">
        <v>12484</v>
      </c>
      <c r="C1326" s="2" t="s">
        <v>55</v>
      </c>
      <c r="D1326" s="2" t="s">
        <v>37</v>
      </c>
      <c r="E1326" s="2" t="s">
        <v>57</v>
      </c>
    </row>
    <row r="1327" spans="1:5" ht="13" x14ac:dyDescent="0.15">
      <c r="A1327" s="2" t="s">
        <v>11</v>
      </c>
      <c r="B1327" s="2">
        <v>17273</v>
      </c>
      <c r="C1327" s="2" t="s">
        <v>55</v>
      </c>
      <c r="D1327" s="2" t="s">
        <v>38</v>
      </c>
      <c r="E1327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65"/>
  <sheetViews>
    <sheetView topLeftCell="G1" workbookViewId="0">
      <selection activeCell="V7" sqref="V7"/>
    </sheetView>
  </sheetViews>
  <sheetFormatPr baseColWidth="10" defaultColWidth="12.6640625" defaultRowHeight="15.75" customHeight="1" x14ac:dyDescent="0.15"/>
  <sheetData>
    <row r="1" spans="1:2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 ht="15.75" customHeight="1" x14ac:dyDescent="0.15">
      <c r="A2" s="3" t="s">
        <v>7</v>
      </c>
      <c r="B2" s="4" t="s">
        <v>8</v>
      </c>
      <c r="C2" s="5">
        <v>2616</v>
      </c>
      <c r="D2" s="3" t="s">
        <v>9</v>
      </c>
      <c r="E2" s="3" t="s">
        <v>10</v>
      </c>
      <c r="F2" s="5">
        <v>2020</v>
      </c>
      <c r="J2" s="13" t="s">
        <v>5</v>
      </c>
      <c r="K2" s="14">
        <v>2020</v>
      </c>
    </row>
    <row r="3" spans="1:22" ht="15.75" customHeight="1" x14ac:dyDescent="0.15">
      <c r="A3" s="3" t="s">
        <v>7</v>
      </c>
      <c r="B3" s="4" t="s">
        <v>12</v>
      </c>
      <c r="C3" s="5">
        <v>7713</v>
      </c>
      <c r="D3" s="3" t="s">
        <v>9</v>
      </c>
      <c r="E3" s="3" t="s">
        <v>10</v>
      </c>
      <c r="F3" s="5">
        <v>2020</v>
      </c>
      <c r="J3" s="13" t="s">
        <v>1</v>
      </c>
      <c r="K3" s="12" t="s">
        <v>69</v>
      </c>
    </row>
    <row r="4" spans="1:22" ht="15.75" customHeight="1" x14ac:dyDescent="0.15">
      <c r="A4" s="3" t="s">
        <v>7</v>
      </c>
      <c r="B4" s="4" t="s">
        <v>14</v>
      </c>
      <c r="C4" s="5">
        <v>216848</v>
      </c>
      <c r="D4" s="3" t="s">
        <v>9</v>
      </c>
      <c r="E4" s="3" t="s">
        <v>10</v>
      </c>
      <c r="F4" s="5">
        <v>2020</v>
      </c>
    </row>
    <row r="5" spans="1:22" ht="15.75" customHeight="1" x14ac:dyDescent="0.15">
      <c r="A5" s="3" t="s">
        <v>7</v>
      </c>
      <c r="B5" s="4" t="s">
        <v>16</v>
      </c>
      <c r="C5" s="5">
        <v>170234</v>
      </c>
      <c r="D5" s="3" t="s">
        <v>9</v>
      </c>
      <c r="E5" s="3" t="s">
        <v>10</v>
      </c>
      <c r="F5" s="5">
        <v>2020</v>
      </c>
      <c r="J5" s="7" t="s">
        <v>6</v>
      </c>
      <c r="K5" s="7" t="s">
        <v>4</v>
      </c>
      <c r="L5" s="15"/>
      <c r="M5" s="15"/>
      <c r="N5" s="15"/>
      <c r="O5" s="16"/>
    </row>
    <row r="6" spans="1:22" ht="15.75" customHeight="1" x14ac:dyDescent="0.15">
      <c r="A6" s="3" t="s">
        <v>13</v>
      </c>
      <c r="B6" s="4" t="s">
        <v>8</v>
      </c>
      <c r="C6" s="5">
        <v>1531</v>
      </c>
      <c r="D6" s="3" t="s">
        <v>9</v>
      </c>
      <c r="E6" s="3" t="s">
        <v>10</v>
      </c>
      <c r="F6" s="5">
        <v>2020</v>
      </c>
      <c r="J6" s="7" t="s">
        <v>0</v>
      </c>
      <c r="K6" s="9" t="s">
        <v>10</v>
      </c>
      <c r="L6" s="17" t="s">
        <v>33</v>
      </c>
      <c r="M6" s="17" t="s">
        <v>34</v>
      </c>
      <c r="N6" s="17" t="s">
        <v>35</v>
      </c>
      <c r="O6" s="8" t="s">
        <v>30</v>
      </c>
      <c r="Q6" t="s">
        <v>0</v>
      </c>
      <c r="R6" t="s">
        <v>10</v>
      </c>
      <c r="S6" t="s">
        <v>33</v>
      </c>
      <c r="T6" t="s">
        <v>34</v>
      </c>
      <c r="U6" t="s">
        <v>35</v>
      </c>
      <c r="V6" s="25" t="s">
        <v>59</v>
      </c>
    </row>
    <row r="7" spans="1:22" ht="15.75" customHeight="1" x14ac:dyDescent="0.15">
      <c r="A7" s="3" t="s">
        <v>13</v>
      </c>
      <c r="B7" s="4" t="s">
        <v>12</v>
      </c>
      <c r="C7" s="5">
        <v>4721</v>
      </c>
      <c r="D7" s="3" t="s">
        <v>9</v>
      </c>
      <c r="E7" s="3" t="s">
        <v>10</v>
      </c>
      <c r="F7" s="5">
        <v>2020</v>
      </c>
      <c r="J7" s="9" t="s">
        <v>11</v>
      </c>
      <c r="K7" s="72">
        <v>706850</v>
      </c>
      <c r="L7" s="73">
        <v>684820</v>
      </c>
      <c r="M7" s="73">
        <v>655101</v>
      </c>
      <c r="N7" s="73">
        <v>704664</v>
      </c>
      <c r="O7" s="74">
        <v>2751435</v>
      </c>
      <c r="Q7" t="s">
        <v>11</v>
      </c>
      <c r="R7">
        <v>706850</v>
      </c>
      <c r="S7">
        <v>684820</v>
      </c>
      <c r="T7">
        <v>655101</v>
      </c>
      <c r="U7">
        <v>704664</v>
      </c>
      <c r="V7" s="26">
        <f>MEDIAN(R7:U7)</f>
        <v>694742</v>
      </c>
    </row>
    <row r="8" spans="1:22" ht="15.75" customHeight="1" x14ac:dyDescent="0.15">
      <c r="A8" s="3" t="s">
        <v>13</v>
      </c>
      <c r="B8" s="4" t="s">
        <v>14</v>
      </c>
      <c r="C8" s="5">
        <v>53543</v>
      </c>
      <c r="D8" s="3" t="s">
        <v>9</v>
      </c>
      <c r="E8" s="3" t="s">
        <v>10</v>
      </c>
      <c r="F8" s="5">
        <v>2020</v>
      </c>
      <c r="J8" s="10" t="s">
        <v>13</v>
      </c>
      <c r="K8" s="75">
        <v>109800</v>
      </c>
      <c r="L8" s="76">
        <v>108268</v>
      </c>
      <c r="M8" s="76">
        <v>106106</v>
      </c>
      <c r="N8" s="76">
        <v>101818</v>
      </c>
      <c r="O8" s="77">
        <v>425992</v>
      </c>
      <c r="Q8" t="s">
        <v>13</v>
      </c>
      <c r="R8">
        <v>109800</v>
      </c>
      <c r="S8">
        <v>108268</v>
      </c>
      <c r="T8">
        <v>106106</v>
      </c>
      <c r="U8">
        <v>101818</v>
      </c>
      <c r="V8" s="26">
        <f t="shared" ref="V8:V23" si="0">MEDIAN(R8:U8)</f>
        <v>107187</v>
      </c>
    </row>
    <row r="9" spans="1:22" ht="15.75" customHeight="1" x14ac:dyDescent="0.15">
      <c r="A9" s="3" t="s">
        <v>13</v>
      </c>
      <c r="B9" s="4" t="s">
        <v>16</v>
      </c>
      <c r="C9" s="5">
        <v>50005</v>
      </c>
      <c r="D9" s="3" t="s">
        <v>9</v>
      </c>
      <c r="E9" s="3" t="s">
        <v>10</v>
      </c>
      <c r="F9" s="5">
        <v>2020</v>
      </c>
      <c r="J9" s="10" t="s">
        <v>15</v>
      </c>
      <c r="K9" s="75">
        <v>390862</v>
      </c>
      <c r="L9" s="76">
        <v>385096</v>
      </c>
      <c r="M9" s="76">
        <v>378493</v>
      </c>
      <c r="N9" s="76">
        <v>374982</v>
      </c>
      <c r="O9" s="77">
        <v>1529433</v>
      </c>
      <c r="Q9" t="s">
        <v>15</v>
      </c>
      <c r="R9">
        <v>390862</v>
      </c>
      <c r="S9">
        <v>385096</v>
      </c>
      <c r="T9">
        <v>378493</v>
      </c>
      <c r="U9">
        <v>374982</v>
      </c>
      <c r="V9" s="26">
        <f t="shared" si="0"/>
        <v>381794.5</v>
      </c>
    </row>
    <row r="10" spans="1:22" ht="15.75" customHeight="1" x14ac:dyDescent="0.15">
      <c r="A10" s="3" t="s">
        <v>15</v>
      </c>
      <c r="B10" s="4" t="s">
        <v>8</v>
      </c>
      <c r="C10" s="5">
        <v>5484</v>
      </c>
      <c r="D10" s="3" t="s">
        <v>9</v>
      </c>
      <c r="E10" s="3" t="s">
        <v>10</v>
      </c>
      <c r="F10" s="5">
        <v>2020</v>
      </c>
      <c r="J10" s="10" t="s">
        <v>17</v>
      </c>
      <c r="K10" s="75">
        <v>192446</v>
      </c>
      <c r="L10" s="76">
        <v>195073</v>
      </c>
      <c r="M10" s="76">
        <v>191407</v>
      </c>
      <c r="N10" s="76">
        <v>189235</v>
      </c>
      <c r="O10" s="77">
        <v>768161</v>
      </c>
      <c r="Q10" t="s">
        <v>17</v>
      </c>
      <c r="R10">
        <v>192446</v>
      </c>
      <c r="S10">
        <v>195073</v>
      </c>
      <c r="T10">
        <v>191407</v>
      </c>
      <c r="U10">
        <v>189235</v>
      </c>
      <c r="V10" s="26">
        <f t="shared" si="0"/>
        <v>191926.5</v>
      </c>
    </row>
    <row r="11" spans="1:22" ht="15.75" customHeight="1" x14ac:dyDescent="0.15">
      <c r="A11" s="3" t="s">
        <v>15</v>
      </c>
      <c r="B11" s="4" t="s">
        <v>12</v>
      </c>
      <c r="C11" s="5">
        <v>18833</v>
      </c>
      <c r="D11" s="3" t="s">
        <v>9</v>
      </c>
      <c r="E11" s="3" t="s">
        <v>10</v>
      </c>
      <c r="F11" s="5">
        <v>2020</v>
      </c>
      <c r="J11" s="10" t="s">
        <v>18</v>
      </c>
      <c r="K11" s="75">
        <v>535756</v>
      </c>
      <c r="L11" s="76">
        <v>541571</v>
      </c>
      <c r="M11" s="76">
        <v>528756</v>
      </c>
      <c r="N11" s="76">
        <v>519573</v>
      </c>
      <c r="O11" s="77">
        <v>2125656</v>
      </c>
      <c r="Q11" t="s">
        <v>18</v>
      </c>
      <c r="R11">
        <v>535756</v>
      </c>
      <c r="S11">
        <v>541571</v>
      </c>
      <c r="T11">
        <v>528756</v>
      </c>
      <c r="U11">
        <v>519573</v>
      </c>
      <c r="V11" s="26">
        <f t="shared" si="0"/>
        <v>532256</v>
      </c>
    </row>
    <row r="12" spans="1:22" ht="15.75" customHeight="1" x14ac:dyDescent="0.15">
      <c r="A12" s="3" t="s">
        <v>15</v>
      </c>
      <c r="B12" s="4" t="s">
        <v>14</v>
      </c>
      <c r="C12" s="5">
        <v>209712</v>
      </c>
      <c r="D12" s="3" t="s">
        <v>9</v>
      </c>
      <c r="E12" s="3" t="s">
        <v>10</v>
      </c>
      <c r="F12" s="5">
        <v>2020</v>
      </c>
      <c r="J12" s="10" t="s">
        <v>19</v>
      </c>
      <c r="K12" s="75">
        <v>608082</v>
      </c>
      <c r="L12" s="76">
        <v>616053</v>
      </c>
      <c r="M12" s="76">
        <v>604615</v>
      </c>
      <c r="N12" s="76">
        <v>589737</v>
      </c>
      <c r="O12" s="77">
        <v>2418487</v>
      </c>
      <c r="Q12" t="s">
        <v>19</v>
      </c>
      <c r="R12">
        <v>608082</v>
      </c>
      <c r="S12">
        <v>616053</v>
      </c>
      <c r="T12">
        <v>604615</v>
      </c>
      <c r="U12">
        <v>589737</v>
      </c>
      <c r="V12" s="26">
        <f t="shared" si="0"/>
        <v>606348.5</v>
      </c>
    </row>
    <row r="13" spans="1:22" ht="15.75" customHeight="1" x14ac:dyDescent="0.15">
      <c r="A13" s="3" t="s">
        <v>15</v>
      </c>
      <c r="B13" s="4" t="s">
        <v>16</v>
      </c>
      <c r="C13" s="5">
        <v>156833</v>
      </c>
      <c r="D13" s="3" t="s">
        <v>9</v>
      </c>
      <c r="E13" s="3" t="s">
        <v>10</v>
      </c>
      <c r="F13" s="5">
        <v>2020</v>
      </c>
      <c r="J13" s="10" t="s">
        <v>20</v>
      </c>
      <c r="K13" s="75">
        <v>500054</v>
      </c>
      <c r="L13" s="76">
        <v>495969</v>
      </c>
      <c r="M13" s="76">
        <v>486182</v>
      </c>
      <c r="N13" s="76">
        <v>473471</v>
      </c>
      <c r="O13" s="77">
        <v>1955676</v>
      </c>
      <c r="Q13" t="s">
        <v>20</v>
      </c>
      <c r="R13">
        <v>500054</v>
      </c>
      <c r="S13">
        <v>495969</v>
      </c>
      <c r="T13">
        <v>486182</v>
      </c>
      <c r="U13">
        <v>473471</v>
      </c>
      <c r="V13" s="26">
        <f t="shared" si="0"/>
        <v>491075.5</v>
      </c>
    </row>
    <row r="14" spans="1:22" ht="15.75" customHeight="1" x14ac:dyDescent="0.15">
      <c r="A14" s="3" t="s">
        <v>17</v>
      </c>
      <c r="B14" s="4" t="s">
        <v>8</v>
      </c>
      <c r="C14" s="5">
        <v>2029</v>
      </c>
      <c r="D14" s="3" t="s">
        <v>9</v>
      </c>
      <c r="E14" s="3" t="s">
        <v>10</v>
      </c>
      <c r="F14" s="5">
        <v>2020</v>
      </c>
      <c r="J14" s="10" t="s">
        <v>21</v>
      </c>
      <c r="K14" s="75">
        <v>359156</v>
      </c>
      <c r="L14" s="76">
        <v>353569</v>
      </c>
      <c r="M14" s="76">
        <v>349956</v>
      </c>
      <c r="N14" s="76">
        <v>341434</v>
      </c>
      <c r="O14" s="77">
        <v>1404115</v>
      </c>
      <c r="Q14" t="s">
        <v>21</v>
      </c>
      <c r="R14">
        <v>359156</v>
      </c>
      <c r="S14">
        <v>353569</v>
      </c>
      <c r="T14">
        <v>349956</v>
      </c>
      <c r="U14">
        <v>341434</v>
      </c>
      <c r="V14" s="26">
        <f t="shared" si="0"/>
        <v>351762.5</v>
      </c>
    </row>
    <row r="15" spans="1:22" ht="15.75" customHeight="1" x14ac:dyDescent="0.15">
      <c r="A15" s="3" t="s">
        <v>17</v>
      </c>
      <c r="B15" s="4" t="s">
        <v>12</v>
      </c>
      <c r="C15" s="5">
        <v>7106</v>
      </c>
      <c r="D15" s="3" t="s">
        <v>9</v>
      </c>
      <c r="E15" s="3" t="s">
        <v>10</v>
      </c>
      <c r="F15" s="5">
        <v>2020</v>
      </c>
      <c r="J15" s="10" t="s">
        <v>7</v>
      </c>
      <c r="K15" s="75">
        <v>397411</v>
      </c>
      <c r="L15" s="76">
        <v>408502</v>
      </c>
      <c r="M15" s="76">
        <v>400389</v>
      </c>
      <c r="N15" s="76">
        <v>382728</v>
      </c>
      <c r="O15" s="77">
        <v>1589030</v>
      </c>
      <c r="Q15" t="s">
        <v>7</v>
      </c>
      <c r="R15">
        <v>397411</v>
      </c>
      <c r="S15">
        <v>408502</v>
      </c>
      <c r="T15">
        <v>400389</v>
      </c>
      <c r="U15">
        <v>382728</v>
      </c>
      <c r="V15" s="26">
        <f t="shared" si="0"/>
        <v>398900</v>
      </c>
    </row>
    <row r="16" spans="1:22" ht="15.75" customHeight="1" x14ac:dyDescent="0.15">
      <c r="A16" s="3" t="s">
        <v>17</v>
      </c>
      <c r="B16" s="4" t="s">
        <v>14</v>
      </c>
      <c r="C16" s="5">
        <v>103150</v>
      </c>
      <c r="D16" s="3" t="s">
        <v>9</v>
      </c>
      <c r="E16" s="3" t="s">
        <v>10</v>
      </c>
      <c r="F16" s="5">
        <v>2020</v>
      </c>
      <c r="J16" s="10" t="s">
        <v>22</v>
      </c>
      <c r="K16" s="75">
        <v>728048</v>
      </c>
      <c r="L16" s="76">
        <v>733748</v>
      </c>
      <c r="M16" s="76">
        <v>725394</v>
      </c>
      <c r="N16" s="76">
        <v>711658</v>
      </c>
      <c r="O16" s="77">
        <v>2898848</v>
      </c>
      <c r="Q16" t="s">
        <v>22</v>
      </c>
      <c r="R16">
        <v>728048</v>
      </c>
      <c r="S16">
        <v>733748</v>
      </c>
      <c r="T16">
        <v>725394</v>
      </c>
      <c r="U16">
        <v>711658</v>
      </c>
      <c r="V16" s="26">
        <f t="shared" si="0"/>
        <v>726721</v>
      </c>
    </row>
    <row r="17" spans="1:22" ht="15.75" customHeight="1" x14ac:dyDescent="0.15">
      <c r="A17" s="3" t="s">
        <v>17</v>
      </c>
      <c r="B17" s="4" t="s">
        <v>16</v>
      </c>
      <c r="C17" s="5">
        <v>80161</v>
      </c>
      <c r="D17" s="3" t="s">
        <v>9</v>
      </c>
      <c r="E17" s="3" t="s">
        <v>10</v>
      </c>
      <c r="F17" s="5">
        <v>2020</v>
      </c>
      <c r="J17" s="10" t="s">
        <v>23</v>
      </c>
      <c r="K17" s="75">
        <v>638105</v>
      </c>
      <c r="L17" s="76">
        <v>631919</v>
      </c>
      <c r="M17" s="76">
        <v>617711</v>
      </c>
      <c r="N17" s="76">
        <v>607903</v>
      </c>
      <c r="O17" s="77">
        <v>2495638</v>
      </c>
      <c r="Q17" t="s">
        <v>23</v>
      </c>
      <c r="R17">
        <v>638105</v>
      </c>
      <c r="S17">
        <v>631919</v>
      </c>
      <c r="T17">
        <v>617711</v>
      </c>
      <c r="U17">
        <v>607903</v>
      </c>
      <c r="V17" s="26">
        <f t="shared" si="0"/>
        <v>624815</v>
      </c>
    </row>
    <row r="18" spans="1:22" ht="15.75" customHeight="1" x14ac:dyDescent="0.15">
      <c r="A18" s="3" t="s">
        <v>18</v>
      </c>
      <c r="B18" s="4" t="s">
        <v>8</v>
      </c>
      <c r="C18" s="5">
        <v>2969</v>
      </c>
      <c r="D18" s="3" t="s">
        <v>9</v>
      </c>
      <c r="E18" s="3" t="s">
        <v>10</v>
      </c>
      <c r="F18" s="5">
        <v>2020</v>
      </c>
      <c r="J18" s="10" t="s">
        <v>24</v>
      </c>
      <c r="K18" s="75">
        <v>546617</v>
      </c>
      <c r="L18" s="76">
        <v>548075</v>
      </c>
      <c r="M18" s="76">
        <v>534619</v>
      </c>
      <c r="N18" s="76">
        <v>520212</v>
      </c>
      <c r="O18" s="77">
        <v>2149523</v>
      </c>
      <c r="Q18" t="s">
        <v>24</v>
      </c>
      <c r="R18">
        <v>546617</v>
      </c>
      <c r="S18">
        <v>548075</v>
      </c>
      <c r="T18">
        <v>534619</v>
      </c>
      <c r="U18">
        <v>520212</v>
      </c>
      <c r="V18" s="26">
        <f t="shared" si="0"/>
        <v>540618</v>
      </c>
    </row>
    <row r="19" spans="1:22" ht="15.75" customHeight="1" x14ac:dyDescent="0.15">
      <c r="A19" s="3" t="s">
        <v>18</v>
      </c>
      <c r="B19" s="4" t="s">
        <v>12</v>
      </c>
      <c r="C19" s="5">
        <v>11921</v>
      </c>
      <c r="D19" s="3" t="s">
        <v>9</v>
      </c>
      <c r="E19" s="3" t="s">
        <v>10</v>
      </c>
      <c r="F19" s="5">
        <v>2020</v>
      </c>
      <c r="J19" s="10" t="s">
        <v>25</v>
      </c>
      <c r="K19" s="75">
        <v>518987</v>
      </c>
      <c r="L19" s="76">
        <v>511262</v>
      </c>
      <c r="M19" s="76">
        <v>498338</v>
      </c>
      <c r="N19" s="76">
        <v>486430</v>
      </c>
      <c r="O19" s="77">
        <v>2015017</v>
      </c>
      <c r="Q19" t="s">
        <v>25</v>
      </c>
      <c r="R19">
        <v>518987</v>
      </c>
      <c r="S19">
        <v>511262</v>
      </c>
      <c r="T19">
        <v>498338</v>
      </c>
      <c r="U19">
        <v>486430</v>
      </c>
      <c r="V19" s="26">
        <f t="shared" si="0"/>
        <v>504800</v>
      </c>
    </row>
    <row r="20" spans="1:22" ht="15.75" customHeight="1" x14ac:dyDescent="0.15">
      <c r="A20" s="3" t="s">
        <v>18</v>
      </c>
      <c r="B20" s="4" t="s">
        <v>14</v>
      </c>
      <c r="C20" s="5">
        <v>294622</v>
      </c>
      <c r="D20" s="3" t="s">
        <v>9</v>
      </c>
      <c r="E20" s="3" t="s">
        <v>10</v>
      </c>
      <c r="F20" s="5">
        <v>2020</v>
      </c>
      <c r="J20" s="10" t="s">
        <v>26</v>
      </c>
      <c r="K20" s="75">
        <v>453132</v>
      </c>
      <c r="L20" s="76">
        <v>448017</v>
      </c>
      <c r="M20" s="76">
        <v>437115</v>
      </c>
      <c r="N20" s="76">
        <v>421953</v>
      </c>
      <c r="O20" s="77">
        <v>1760217</v>
      </c>
      <c r="Q20" t="s">
        <v>26</v>
      </c>
      <c r="R20">
        <v>453132</v>
      </c>
      <c r="S20">
        <v>448017</v>
      </c>
      <c r="T20">
        <v>437115</v>
      </c>
      <c r="U20">
        <v>421953</v>
      </c>
      <c r="V20" s="26">
        <f t="shared" si="0"/>
        <v>442566</v>
      </c>
    </row>
    <row r="21" spans="1:22" ht="15.75" customHeight="1" x14ac:dyDescent="0.15">
      <c r="A21" s="3" t="s">
        <v>18</v>
      </c>
      <c r="B21" s="4" t="s">
        <v>16</v>
      </c>
      <c r="C21" s="5">
        <v>226244</v>
      </c>
      <c r="D21" s="3" t="s">
        <v>9</v>
      </c>
      <c r="E21" s="3" t="s">
        <v>10</v>
      </c>
      <c r="F21" s="5">
        <v>2020</v>
      </c>
      <c r="J21" s="10" t="s">
        <v>27</v>
      </c>
      <c r="K21" s="75">
        <v>411581</v>
      </c>
      <c r="L21" s="76">
        <v>409177</v>
      </c>
      <c r="M21" s="76">
        <v>399908</v>
      </c>
      <c r="N21" s="76">
        <v>389383</v>
      </c>
      <c r="O21" s="77">
        <v>1610049</v>
      </c>
      <c r="Q21" t="s">
        <v>27</v>
      </c>
      <c r="R21">
        <v>411581</v>
      </c>
      <c r="S21">
        <v>409177</v>
      </c>
      <c r="T21">
        <v>399908</v>
      </c>
      <c r="U21">
        <v>389383</v>
      </c>
      <c r="V21" s="26">
        <f t="shared" si="0"/>
        <v>404542.5</v>
      </c>
    </row>
    <row r="22" spans="1:22" ht="15.75" customHeight="1" x14ac:dyDescent="0.15">
      <c r="A22" s="3" t="s">
        <v>19</v>
      </c>
      <c r="B22" s="4" t="s">
        <v>8</v>
      </c>
      <c r="C22" s="5">
        <v>6029</v>
      </c>
      <c r="D22" s="3" t="s">
        <v>9</v>
      </c>
      <c r="E22" s="3" t="s">
        <v>10</v>
      </c>
      <c r="F22" s="5">
        <v>2020</v>
      </c>
      <c r="J22" s="10" t="s">
        <v>28</v>
      </c>
      <c r="K22" s="75">
        <v>408433</v>
      </c>
      <c r="L22" s="76">
        <v>411718</v>
      </c>
      <c r="M22" s="76">
        <v>395168</v>
      </c>
      <c r="N22" s="76">
        <v>316715</v>
      </c>
      <c r="O22" s="77">
        <v>1532034</v>
      </c>
      <c r="Q22" t="s">
        <v>28</v>
      </c>
      <c r="R22">
        <v>408433</v>
      </c>
      <c r="S22">
        <v>411718</v>
      </c>
      <c r="T22">
        <v>395168</v>
      </c>
      <c r="U22">
        <v>316715</v>
      </c>
      <c r="V22" s="26">
        <f t="shared" si="0"/>
        <v>401800.5</v>
      </c>
    </row>
    <row r="23" spans="1:22" ht="15.75" customHeight="1" x14ac:dyDescent="0.15">
      <c r="A23" s="3" t="s">
        <v>19</v>
      </c>
      <c r="B23" s="4" t="s">
        <v>12</v>
      </c>
      <c r="C23" s="5">
        <v>19467</v>
      </c>
      <c r="D23" s="3" t="s">
        <v>9</v>
      </c>
      <c r="E23" s="3" t="s">
        <v>10</v>
      </c>
      <c r="F23" s="5">
        <v>2020</v>
      </c>
      <c r="J23" s="10" t="s">
        <v>29</v>
      </c>
      <c r="K23" s="75">
        <v>329619</v>
      </c>
      <c r="L23" s="76"/>
      <c r="M23" s="76"/>
      <c r="N23" s="76">
        <v>315020</v>
      </c>
      <c r="O23" s="77">
        <v>644639</v>
      </c>
      <c r="Q23" t="s">
        <v>29</v>
      </c>
      <c r="R23">
        <v>329619</v>
      </c>
      <c r="U23">
        <v>315020</v>
      </c>
      <c r="V23" s="26">
        <f t="shared" si="0"/>
        <v>322319.5</v>
      </c>
    </row>
    <row r="24" spans="1:22" ht="15.75" customHeight="1" x14ac:dyDescent="0.15">
      <c r="A24" s="3" t="s">
        <v>19</v>
      </c>
      <c r="B24" s="4" t="s">
        <v>14</v>
      </c>
      <c r="C24" s="5">
        <v>326299</v>
      </c>
      <c r="D24" s="3" t="s">
        <v>9</v>
      </c>
      <c r="E24" s="3" t="s">
        <v>10</v>
      </c>
      <c r="F24" s="5">
        <v>2020</v>
      </c>
      <c r="J24" s="11" t="s">
        <v>30</v>
      </c>
      <c r="K24" s="78">
        <v>7834939</v>
      </c>
      <c r="L24" s="79">
        <v>7482837</v>
      </c>
      <c r="M24" s="79">
        <v>7309258</v>
      </c>
      <c r="N24" s="79">
        <v>7446916</v>
      </c>
      <c r="O24" s="80">
        <v>30073950</v>
      </c>
    </row>
    <row r="25" spans="1:22" ht="15.75" customHeight="1" x14ac:dyDescent="0.15">
      <c r="A25" s="3" t="s">
        <v>19</v>
      </c>
      <c r="B25" s="4" t="s">
        <v>16</v>
      </c>
      <c r="C25" s="5">
        <v>256287</v>
      </c>
      <c r="D25" s="3" t="s">
        <v>9</v>
      </c>
      <c r="E25" s="3" t="s">
        <v>10</v>
      </c>
      <c r="F25" s="5">
        <v>2020</v>
      </c>
    </row>
    <row r="26" spans="1:22" ht="15.75" customHeight="1" x14ac:dyDescent="0.15">
      <c r="A26" s="3" t="s">
        <v>21</v>
      </c>
      <c r="B26" s="4" t="s">
        <v>8</v>
      </c>
      <c r="C26" s="5">
        <v>5734</v>
      </c>
      <c r="D26" s="3" t="s">
        <v>9</v>
      </c>
      <c r="E26" s="3" t="s">
        <v>10</v>
      </c>
      <c r="F26" s="5">
        <v>2020</v>
      </c>
    </row>
    <row r="27" spans="1:22" ht="15.75" customHeight="1" x14ac:dyDescent="0.15">
      <c r="A27" s="3" t="s">
        <v>21</v>
      </c>
      <c r="B27" s="4" t="s">
        <v>12</v>
      </c>
      <c r="C27" s="5">
        <v>19927</v>
      </c>
      <c r="D27" s="3" t="s">
        <v>9</v>
      </c>
      <c r="E27" s="3" t="s">
        <v>10</v>
      </c>
      <c r="F27" s="5">
        <v>2020</v>
      </c>
    </row>
    <row r="28" spans="1:22" ht="15.75" customHeight="1" x14ac:dyDescent="0.15">
      <c r="A28" s="3" t="s">
        <v>21</v>
      </c>
      <c r="B28" s="4" t="s">
        <v>14</v>
      </c>
      <c r="C28" s="5">
        <v>181815</v>
      </c>
      <c r="D28" s="3" t="s">
        <v>9</v>
      </c>
      <c r="E28" s="3" t="s">
        <v>10</v>
      </c>
      <c r="F28" s="5">
        <v>2020</v>
      </c>
    </row>
    <row r="29" spans="1:22" ht="15.75" customHeight="1" x14ac:dyDescent="0.15">
      <c r="A29" s="3" t="s">
        <v>21</v>
      </c>
      <c r="B29" s="4" t="s">
        <v>16</v>
      </c>
      <c r="C29" s="5">
        <v>151680</v>
      </c>
      <c r="D29" s="3" t="s">
        <v>9</v>
      </c>
      <c r="E29" s="3" t="s">
        <v>10</v>
      </c>
      <c r="F29" s="5">
        <v>2020</v>
      </c>
    </row>
    <row r="30" spans="1:22" ht="15.75" customHeight="1" x14ac:dyDescent="0.15">
      <c r="A30" s="3" t="s">
        <v>22</v>
      </c>
      <c r="B30" s="4" t="s">
        <v>8</v>
      </c>
      <c r="C30" s="5">
        <v>4945</v>
      </c>
      <c r="D30" s="3" t="s">
        <v>9</v>
      </c>
      <c r="E30" s="3" t="s">
        <v>10</v>
      </c>
      <c r="F30" s="5">
        <v>2020</v>
      </c>
    </row>
    <row r="31" spans="1:22" ht="15.75" customHeight="1" x14ac:dyDescent="0.15">
      <c r="A31" s="3" t="s">
        <v>22</v>
      </c>
      <c r="B31" s="4" t="s">
        <v>12</v>
      </c>
      <c r="C31" s="5">
        <v>16623</v>
      </c>
      <c r="D31" s="3" t="s">
        <v>9</v>
      </c>
      <c r="E31" s="3" t="s">
        <v>10</v>
      </c>
      <c r="F31" s="5">
        <v>2020</v>
      </c>
    </row>
    <row r="32" spans="1:22" ht="15.75" customHeight="1" x14ac:dyDescent="0.15">
      <c r="A32" s="3" t="s">
        <v>22</v>
      </c>
      <c r="B32" s="4" t="s">
        <v>14</v>
      </c>
      <c r="C32" s="5">
        <v>375497</v>
      </c>
      <c r="D32" s="3" t="s">
        <v>9</v>
      </c>
      <c r="E32" s="3" t="s">
        <v>10</v>
      </c>
      <c r="F32" s="5">
        <v>2020</v>
      </c>
    </row>
    <row r="33" spans="1:6" ht="15.75" customHeight="1" x14ac:dyDescent="0.15">
      <c r="A33" s="3" t="s">
        <v>22</v>
      </c>
      <c r="B33" s="4" t="s">
        <v>16</v>
      </c>
      <c r="C33" s="5">
        <v>330983</v>
      </c>
      <c r="D33" s="3" t="s">
        <v>9</v>
      </c>
      <c r="E33" s="3" t="s">
        <v>10</v>
      </c>
      <c r="F33" s="5">
        <v>2020</v>
      </c>
    </row>
    <row r="34" spans="1:6" ht="15.75" customHeight="1" x14ac:dyDescent="0.15">
      <c r="A34" s="3" t="s">
        <v>23</v>
      </c>
      <c r="B34" s="4" t="s">
        <v>8</v>
      </c>
      <c r="C34" s="5">
        <v>7622</v>
      </c>
      <c r="D34" s="3" t="s">
        <v>31</v>
      </c>
      <c r="E34" s="3" t="s">
        <v>10</v>
      </c>
      <c r="F34" s="5">
        <v>2020</v>
      </c>
    </row>
    <row r="35" spans="1:6" ht="15.75" customHeight="1" x14ac:dyDescent="0.15">
      <c r="A35" s="3" t="s">
        <v>23</v>
      </c>
      <c r="B35" s="4" t="s">
        <v>12</v>
      </c>
      <c r="C35" s="5">
        <v>21727</v>
      </c>
      <c r="D35" s="3" t="s">
        <v>31</v>
      </c>
      <c r="E35" s="3" t="s">
        <v>10</v>
      </c>
      <c r="F35" s="5">
        <v>2020</v>
      </c>
    </row>
    <row r="36" spans="1:6" ht="15.75" customHeight="1" x14ac:dyDescent="0.15">
      <c r="A36" s="3" t="s">
        <v>23</v>
      </c>
      <c r="B36" s="4" t="s">
        <v>14</v>
      </c>
      <c r="C36" s="5">
        <v>334834</v>
      </c>
      <c r="D36" s="3" t="s">
        <v>31</v>
      </c>
      <c r="E36" s="3" t="s">
        <v>10</v>
      </c>
      <c r="F36" s="5">
        <v>2020</v>
      </c>
    </row>
    <row r="37" spans="1:6" ht="15.75" customHeight="1" x14ac:dyDescent="0.15">
      <c r="A37" s="3" t="s">
        <v>23</v>
      </c>
      <c r="B37" s="4" t="s">
        <v>16</v>
      </c>
      <c r="C37" s="5">
        <v>273922</v>
      </c>
      <c r="D37" s="3" t="s">
        <v>31</v>
      </c>
      <c r="E37" s="3" t="s">
        <v>10</v>
      </c>
      <c r="F37" s="5">
        <v>2020</v>
      </c>
    </row>
    <row r="38" spans="1:6" ht="15.75" customHeight="1" x14ac:dyDescent="0.15">
      <c r="A38" s="3" t="s">
        <v>24</v>
      </c>
      <c r="B38" s="4" t="s">
        <v>8</v>
      </c>
      <c r="C38" s="5">
        <v>4253</v>
      </c>
      <c r="D38" s="3" t="s">
        <v>31</v>
      </c>
      <c r="E38" s="3" t="s">
        <v>10</v>
      </c>
      <c r="F38" s="5">
        <v>2020</v>
      </c>
    </row>
    <row r="39" spans="1:6" ht="15.75" customHeight="1" x14ac:dyDescent="0.15">
      <c r="A39" s="3" t="s">
        <v>24</v>
      </c>
      <c r="B39" s="4" t="s">
        <v>12</v>
      </c>
      <c r="C39" s="5">
        <v>19965</v>
      </c>
      <c r="D39" s="3" t="s">
        <v>31</v>
      </c>
      <c r="E39" s="3" t="s">
        <v>10</v>
      </c>
      <c r="F39" s="5">
        <v>2020</v>
      </c>
    </row>
    <row r="40" spans="1:6" ht="15.75" customHeight="1" x14ac:dyDescent="0.15">
      <c r="A40" s="3" t="s">
        <v>24</v>
      </c>
      <c r="B40" s="4" t="s">
        <v>14</v>
      </c>
      <c r="C40" s="5">
        <v>290644</v>
      </c>
      <c r="D40" s="3" t="s">
        <v>31</v>
      </c>
      <c r="E40" s="3" t="s">
        <v>10</v>
      </c>
      <c r="F40" s="5">
        <v>2020</v>
      </c>
    </row>
    <row r="41" spans="1:6" ht="15.75" customHeight="1" x14ac:dyDescent="0.15">
      <c r="A41" s="3" t="s">
        <v>24</v>
      </c>
      <c r="B41" s="4" t="s">
        <v>16</v>
      </c>
      <c r="C41" s="5">
        <v>231755</v>
      </c>
      <c r="D41" s="3" t="s">
        <v>31</v>
      </c>
      <c r="E41" s="3" t="s">
        <v>10</v>
      </c>
      <c r="F41" s="5">
        <v>2020</v>
      </c>
    </row>
    <row r="42" spans="1:6" ht="15.75" customHeight="1" x14ac:dyDescent="0.15">
      <c r="A42" s="3" t="s">
        <v>25</v>
      </c>
      <c r="B42" s="4" t="s">
        <v>8</v>
      </c>
      <c r="C42" s="5">
        <v>3677</v>
      </c>
      <c r="D42" s="3" t="s">
        <v>31</v>
      </c>
      <c r="E42" s="3" t="s">
        <v>10</v>
      </c>
      <c r="F42" s="5">
        <v>2020</v>
      </c>
    </row>
    <row r="43" spans="1:6" ht="15.75" customHeight="1" x14ac:dyDescent="0.15">
      <c r="A43" s="3" t="s">
        <v>25</v>
      </c>
      <c r="B43" s="4" t="s">
        <v>12</v>
      </c>
      <c r="C43" s="5">
        <v>15972</v>
      </c>
      <c r="D43" s="3" t="s">
        <v>31</v>
      </c>
      <c r="E43" s="3" t="s">
        <v>10</v>
      </c>
      <c r="F43" s="5">
        <v>2020</v>
      </c>
    </row>
    <row r="44" spans="1:6" ht="15.75" customHeight="1" x14ac:dyDescent="0.15">
      <c r="A44" s="3" t="s">
        <v>25</v>
      </c>
      <c r="B44" s="4" t="s">
        <v>14</v>
      </c>
      <c r="C44" s="5">
        <v>268345</v>
      </c>
      <c r="D44" s="3" t="s">
        <v>31</v>
      </c>
      <c r="E44" s="3" t="s">
        <v>10</v>
      </c>
      <c r="F44" s="5">
        <v>2020</v>
      </c>
    </row>
    <row r="45" spans="1:6" ht="15.75" customHeight="1" x14ac:dyDescent="0.15">
      <c r="A45" s="3" t="s">
        <v>25</v>
      </c>
      <c r="B45" s="4" t="s">
        <v>16</v>
      </c>
      <c r="C45" s="5">
        <v>230993</v>
      </c>
      <c r="D45" s="3" t="s">
        <v>31</v>
      </c>
      <c r="E45" s="3" t="s">
        <v>10</v>
      </c>
      <c r="F45" s="5">
        <v>2020</v>
      </c>
    </row>
    <row r="46" spans="1:6" ht="15.75" customHeight="1" x14ac:dyDescent="0.15">
      <c r="A46" s="3" t="s">
        <v>20</v>
      </c>
      <c r="B46" s="4" t="s">
        <v>8</v>
      </c>
      <c r="C46" s="5">
        <v>4612</v>
      </c>
      <c r="D46" s="3" t="s">
        <v>32</v>
      </c>
      <c r="E46" s="3" t="s">
        <v>10</v>
      </c>
      <c r="F46" s="5">
        <v>2020</v>
      </c>
    </row>
    <row r="47" spans="1:6" ht="15.75" customHeight="1" x14ac:dyDescent="0.15">
      <c r="A47" s="3" t="s">
        <v>20</v>
      </c>
      <c r="B47" s="4" t="s">
        <v>12</v>
      </c>
      <c r="C47" s="5">
        <v>17775</v>
      </c>
      <c r="D47" s="3" t="s">
        <v>32</v>
      </c>
      <c r="E47" s="3" t="s">
        <v>10</v>
      </c>
      <c r="F47" s="5">
        <v>2020</v>
      </c>
    </row>
    <row r="48" spans="1:6" ht="15.75" customHeight="1" x14ac:dyDescent="0.15">
      <c r="A48" s="3" t="s">
        <v>20</v>
      </c>
      <c r="B48" s="4" t="s">
        <v>14</v>
      </c>
      <c r="C48" s="5">
        <v>273579</v>
      </c>
      <c r="D48" s="3" t="s">
        <v>32</v>
      </c>
      <c r="E48" s="3" t="s">
        <v>10</v>
      </c>
      <c r="F48" s="5">
        <v>2020</v>
      </c>
    </row>
    <row r="49" spans="1:6" ht="13" x14ac:dyDescent="0.15">
      <c r="A49" s="3" t="s">
        <v>20</v>
      </c>
      <c r="B49" s="4" t="s">
        <v>16</v>
      </c>
      <c r="C49" s="5">
        <v>204088</v>
      </c>
      <c r="D49" s="3" t="s">
        <v>32</v>
      </c>
      <c r="E49" s="3" t="s">
        <v>10</v>
      </c>
      <c r="F49" s="5">
        <v>2020</v>
      </c>
    </row>
    <row r="50" spans="1:6" ht="13" x14ac:dyDescent="0.15">
      <c r="A50" s="3" t="s">
        <v>26</v>
      </c>
      <c r="B50" s="4" t="s">
        <v>8</v>
      </c>
      <c r="C50" s="5">
        <v>1775</v>
      </c>
      <c r="D50" s="3" t="s">
        <v>32</v>
      </c>
      <c r="E50" s="3" t="s">
        <v>10</v>
      </c>
      <c r="F50" s="5">
        <v>2020</v>
      </c>
    </row>
    <row r="51" spans="1:6" ht="13" x14ac:dyDescent="0.15">
      <c r="A51" s="3" t="s">
        <v>26</v>
      </c>
      <c r="B51" s="4" t="s">
        <v>12</v>
      </c>
      <c r="C51" s="5">
        <v>10237</v>
      </c>
      <c r="D51" s="3" t="s">
        <v>32</v>
      </c>
      <c r="E51" s="3" t="s">
        <v>10</v>
      </c>
      <c r="F51" s="5">
        <v>2020</v>
      </c>
    </row>
    <row r="52" spans="1:6" ht="13" x14ac:dyDescent="0.15">
      <c r="A52" s="3" t="s">
        <v>26</v>
      </c>
      <c r="B52" s="4" t="s">
        <v>14</v>
      </c>
      <c r="C52" s="5">
        <v>233224</v>
      </c>
      <c r="D52" s="3" t="s">
        <v>32</v>
      </c>
      <c r="E52" s="3" t="s">
        <v>10</v>
      </c>
      <c r="F52" s="5">
        <v>2020</v>
      </c>
    </row>
    <row r="53" spans="1:6" ht="13" x14ac:dyDescent="0.15">
      <c r="A53" s="3" t="s">
        <v>26</v>
      </c>
      <c r="B53" s="4" t="s">
        <v>16</v>
      </c>
      <c r="C53" s="5">
        <v>207896</v>
      </c>
      <c r="D53" s="3" t="s">
        <v>32</v>
      </c>
      <c r="E53" s="3" t="s">
        <v>10</v>
      </c>
      <c r="F53" s="5">
        <v>2020</v>
      </c>
    </row>
    <row r="54" spans="1:6" ht="13" x14ac:dyDescent="0.15">
      <c r="A54" s="3" t="s">
        <v>27</v>
      </c>
      <c r="B54" s="4" t="s">
        <v>8</v>
      </c>
      <c r="C54" s="5">
        <v>2255</v>
      </c>
      <c r="D54" s="3" t="s">
        <v>32</v>
      </c>
      <c r="E54" s="3" t="s">
        <v>10</v>
      </c>
      <c r="F54" s="5">
        <v>2020</v>
      </c>
    </row>
    <row r="55" spans="1:6" ht="13" x14ac:dyDescent="0.15">
      <c r="A55" s="3" t="s">
        <v>27</v>
      </c>
      <c r="B55" s="4" t="s">
        <v>12</v>
      </c>
      <c r="C55" s="5">
        <v>11587</v>
      </c>
      <c r="D55" s="3" t="s">
        <v>32</v>
      </c>
      <c r="E55" s="3" t="s">
        <v>10</v>
      </c>
      <c r="F55" s="5">
        <v>2020</v>
      </c>
    </row>
    <row r="56" spans="1:6" ht="13" x14ac:dyDescent="0.15">
      <c r="A56" s="3" t="s">
        <v>27</v>
      </c>
      <c r="B56" s="4" t="s">
        <v>14</v>
      </c>
      <c r="C56" s="5">
        <v>224130</v>
      </c>
      <c r="D56" s="3" t="s">
        <v>32</v>
      </c>
      <c r="E56" s="3" t="s">
        <v>10</v>
      </c>
      <c r="F56" s="5">
        <v>2020</v>
      </c>
    </row>
    <row r="57" spans="1:6" ht="13" x14ac:dyDescent="0.15">
      <c r="A57" s="3" t="s">
        <v>27</v>
      </c>
      <c r="B57" s="4" t="s">
        <v>16</v>
      </c>
      <c r="C57" s="5">
        <v>173609</v>
      </c>
      <c r="D57" s="3" t="s">
        <v>32</v>
      </c>
      <c r="E57" s="3" t="s">
        <v>10</v>
      </c>
      <c r="F57" s="5">
        <v>2020</v>
      </c>
    </row>
    <row r="58" spans="1:6" ht="13" x14ac:dyDescent="0.15">
      <c r="A58" s="3" t="s">
        <v>28</v>
      </c>
      <c r="B58" s="4" t="s">
        <v>8</v>
      </c>
      <c r="C58" s="5">
        <v>864</v>
      </c>
      <c r="D58" s="3" t="s">
        <v>32</v>
      </c>
      <c r="E58" s="3" t="s">
        <v>10</v>
      </c>
      <c r="F58" s="5">
        <v>2020</v>
      </c>
    </row>
    <row r="59" spans="1:6" ht="13" x14ac:dyDescent="0.15">
      <c r="A59" s="3" t="s">
        <v>28</v>
      </c>
      <c r="B59" s="4" t="s">
        <v>12</v>
      </c>
      <c r="C59" s="5">
        <v>5914</v>
      </c>
      <c r="D59" s="3" t="s">
        <v>32</v>
      </c>
      <c r="E59" s="3" t="s">
        <v>10</v>
      </c>
      <c r="F59" s="5">
        <v>2020</v>
      </c>
    </row>
    <row r="60" spans="1:6" ht="13" x14ac:dyDescent="0.15">
      <c r="A60" s="3" t="s">
        <v>28</v>
      </c>
      <c r="B60" s="4" t="s">
        <v>14</v>
      </c>
      <c r="C60" s="5">
        <v>209224</v>
      </c>
      <c r="D60" s="3" t="s">
        <v>32</v>
      </c>
      <c r="E60" s="3" t="s">
        <v>10</v>
      </c>
      <c r="F60" s="5">
        <v>2020</v>
      </c>
    </row>
    <row r="61" spans="1:6" ht="13" x14ac:dyDescent="0.15">
      <c r="A61" s="3" t="s">
        <v>28</v>
      </c>
      <c r="B61" s="4" t="s">
        <v>16</v>
      </c>
      <c r="C61" s="5">
        <v>192431</v>
      </c>
      <c r="D61" s="3" t="s">
        <v>32</v>
      </c>
      <c r="E61" s="3" t="s">
        <v>10</v>
      </c>
      <c r="F61" s="5">
        <v>2020</v>
      </c>
    </row>
    <row r="62" spans="1:6" ht="13" x14ac:dyDescent="0.15">
      <c r="A62" s="3" t="s">
        <v>29</v>
      </c>
      <c r="B62" s="4" t="s">
        <v>8</v>
      </c>
      <c r="C62" s="5">
        <v>4373</v>
      </c>
      <c r="D62" s="3" t="s">
        <v>32</v>
      </c>
      <c r="E62" s="3" t="s">
        <v>10</v>
      </c>
      <c r="F62" s="5">
        <v>2020</v>
      </c>
    </row>
    <row r="63" spans="1:6" ht="13" x14ac:dyDescent="0.15">
      <c r="A63" s="3" t="s">
        <v>29</v>
      </c>
      <c r="B63" s="4" t="s">
        <v>12</v>
      </c>
      <c r="C63" s="5">
        <v>14960</v>
      </c>
      <c r="D63" s="3" t="s">
        <v>32</v>
      </c>
      <c r="E63" s="3" t="s">
        <v>10</v>
      </c>
      <c r="F63" s="5">
        <v>2020</v>
      </c>
    </row>
    <row r="64" spans="1:6" ht="13" x14ac:dyDescent="0.15">
      <c r="A64" s="3" t="s">
        <v>29</v>
      </c>
      <c r="B64" s="4" t="s">
        <v>14</v>
      </c>
      <c r="C64" s="5">
        <v>172807</v>
      </c>
      <c r="D64" s="3" t="s">
        <v>32</v>
      </c>
      <c r="E64" s="3" t="s">
        <v>10</v>
      </c>
      <c r="F64" s="5">
        <v>2020</v>
      </c>
    </row>
    <row r="65" spans="1:6" ht="13" x14ac:dyDescent="0.15">
      <c r="A65" s="3" t="s">
        <v>29</v>
      </c>
      <c r="B65" s="4" t="s">
        <v>16</v>
      </c>
      <c r="C65" s="5">
        <v>137479</v>
      </c>
      <c r="D65" s="3" t="s">
        <v>32</v>
      </c>
      <c r="E65" s="3" t="s">
        <v>10</v>
      </c>
      <c r="F65" s="5">
        <v>2020</v>
      </c>
    </row>
    <row r="66" spans="1:6" ht="13" x14ac:dyDescent="0.15">
      <c r="A66" s="3" t="s">
        <v>11</v>
      </c>
      <c r="B66" s="4" t="s">
        <v>8</v>
      </c>
      <c r="C66" s="5">
        <v>580</v>
      </c>
      <c r="D66" s="3" t="s">
        <v>32</v>
      </c>
      <c r="E66" s="3" t="s">
        <v>10</v>
      </c>
      <c r="F66" s="5">
        <v>2020</v>
      </c>
    </row>
    <row r="67" spans="1:6" ht="13" x14ac:dyDescent="0.15">
      <c r="A67" s="3" t="s">
        <v>11</v>
      </c>
      <c r="B67" s="4" t="s">
        <v>12</v>
      </c>
      <c r="C67" s="5">
        <v>2127</v>
      </c>
      <c r="D67" s="3" t="s">
        <v>32</v>
      </c>
      <c r="E67" s="3" t="s">
        <v>10</v>
      </c>
      <c r="F67" s="5">
        <v>2020</v>
      </c>
    </row>
    <row r="68" spans="1:6" ht="13" x14ac:dyDescent="0.15">
      <c r="A68" s="3" t="s">
        <v>11</v>
      </c>
      <c r="B68" s="4" t="s">
        <v>14</v>
      </c>
      <c r="C68" s="5">
        <v>347321</v>
      </c>
      <c r="D68" s="3" t="s">
        <v>32</v>
      </c>
      <c r="E68" s="3" t="s">
        <v>10</v>
      </c>
      <c r="F68" s="5">
        <v>2020</v>
      </c>
    </row>
    <row r="69" spans="1:6" ht="13" x14ac:dyDescent="0.15">
      <c r="A69" s="3" t="s">
        <v>11</v>
      </c>
      <c r="B69" s="4" t="s">
        <v>16</v>
      </c>
      <c r="C69" s="5">
        <v>356822</v>
      </c>
      <c r="D69" s="3" t="s">
        <v>32</v>
      </c>
      <c r="E69" s="3" t="s">
        <v>10</v>
      </c>
      <c r="F69" s="5">
        <v>2020</v>
      </c>
    </row>
    <row r="70" spans="1:6" ht="13" x14ac:dyDescent="0.15">
      <c r="A70" s="3" t="s">
        <v>7</v>
      </c>
      <c r="B70" s="4" t="s">
        <v>8</v>
      </c>
      <c r="C70" s="5">
        <v>2928</v>
      </c>
      <c r="D70" s="3" t="s">
        <v>9</v>
      </c>
      <c r="E70" s="3" t="s">
        <v>33</v>
      </c>
      <c r="F70" s="5">
        <v>2020</v>
      </c>
    </row>
    <row r="71" spans="1:6" ht="13" x14ac:dyDescent="0.15">
      <c r="A71" s="3" t="s">
        <v>7</v>
      </c>
      <c r="B71" s="4" t="s">
        <v>12</v>
      </c>
      <c r="C71" s="5">
        <v>9280</v>
      </c>
      <c r="D71" s="3" t="s">
        <v>9</v>
      </c>
      <c r="E71" s="3" t="s">
        <v>33</v>
      </c>
      <c r="F71" s="5">
        <v>2020</v>
      </c>
    </row>
    <row r="72" spans="1:6" ht="13" x14ac:dyDescent="0.15">
      <c r="A72" s="3" t="s">
        <v>7</v>
      </c>
      <c r="B72" s="4" t="s">
        <v>14</v>
      </c>
      <c r="C72" s="5">
        <v>219619</v>
      </c>
      <c r="D72" s="3" t="s">
        <v>9</v>
      </c>
      <c r="E72" s="3" t="s">
        <v>33</v>
      </c>
      <c r="F72" s="5">
        <v>2020</v>
      </c>
    </row>
    <row r="73" spans="1:6" ht="13" x14ac:dyDescent="0.15">
      <c r="A73" s="3" t="s">
        <v>7</v>
      </c>
      <c r="B73" s="4" t="s">
        <v>16</v>
      </c>
      <c r="C73" s="5">
        <v>176675</v>
      </c>
      <c r="D73" s="3" t="s">
        <v>9</v>
      </c>
      <c r="E73" s="3" t="s">
        <v>33</v>
      </c>
      <c r="F73" s="5">
        <v>2020</v>
      </c>
    </row>
    <row r="74" spans="1:6" ht="13" x14ac:dyDescent="0.15">
      <c r="A74" s="3" t="s">
        <v>13</v>
      </c>
      <c r="B74" s="4" t="s">
        <v>8</v>
      </c>
      <c r="C74" s="5">
        <v>1497</v>
      </c>
      <c r="D74" s="3" t="s">
        <v>9</v>
      </c>
      <c r="E74" s="3" t="s">
        <v>33</v>
      </c>
      <c r="F74" s="5">
        <v>2020</v>
      </c>
    </row>
    <row r="75" spans="1:6" ht="13" x14ac:dyDescent="0.15">
      <c r="A75" s="3" t="s">
        <v>13</v>
      </c>
      <c r="B75" s="4" t="s">
        <v>12</v>
      </c>
      <c r="C75" s="5">
        <v>4761</v>
      </c>
      <c r="D75" s="3" t="s">
        <v>9</v>
      </c>
      <c r="E75" s="3" t="s">
        <v>33</v>
      </c>
      <c r="F75" s="5">
        <v>2020</v>
      </c>
    </row>
    <row r="76" spans="1:6" ht="13" x14ac:dyDescent="0.15">
      <c r="A76" s="3" t="s">
        <v>13</v>
      </c>
      <c r="B76" s="4" t="s">
        <v>14</v>
      </c>
      <c r="C76" s="5">
        <v>51644</v>
      </c>
      <c r="D76" s="3" t="s">
        <v>9</v>
      </c>
      <c r="E76" s="3" t="s">
        <v>33</v>
      </c>
      <c r="F76" s="5">
        <v>2020</v>
      </c>
    </row>
    <row r="77" spans="1:6" ht="13" x14ac:dyDescent="0.15">
      <c r="A77" s="3" t="s">
        <v>13</v>
      </c>
      <c r="B77" s="4" t="s">
        <v>16</v>
      </c>
      <c r="C77" s="5">
        <v>50366</v>
      </c>
      <c r="D77" s="3" t="s">
        <v>9</v>
      </c>
      <c r="E77" s="3" t="s">
        <v>33</v>
      </c>
      <c r="F77" s="5">
        <v>2020</v>
      </c>
    </row>
    <row r="78" spans="1:6" ht="13" x14ac:dyDescent="0.15">
      <c r="A78" s="3" t="s">
        <v>15</v>
      </c>
      <c r="B78" s="4" t="s">
        <v>8</v>
      </c>
      <c r="C78" s="5">
        <v>5157</v>
      </c>
      <c r="D78" s="3" t="s">
        <v>9</v>
      </c>
      <c r="E78" s="3" t="s">
        <v>33</v>
      </c>
      <c r="F78" s="5">
        <v>2020</v>
      </c>
    </row>
    <row r="79" spans="1:6" ht="13" x14ac:dyDescent="0.15">
      <c r="A79" s="3" t="s">
        <v>15</v>
      </c>
      <c r="B79" s="4" t="s">
        <v>12</v>
      </c>
      <c r="C79" s="5">
        <v>17769</v>
      </c>
      <c r="D79" s="3" t="s">
        <v>9</v>
      </c>
      <c r="E79" s="3" t="s">
        <v>33</v>
      </c>
      <c r="F79" s="5">
        <v>2020</v>
      </c>
    </row>
    <row r="80" spans="1:6" ht="13" x14ac:dyDescent="0.15">
      <c r="A80" s="3" t="s">
        <v>15</v>
      </c>
      <c r="B80" s="4" t="s">
        <v>14</v>
      </c>
      <c r="C80" s="5">
        <v>204041</v>
      </c>
      <c r="D80" s="3" t="s">
        <v>9</v>
      </c>
      <c r="E80" s="3" t="s">
        <v>33</v>
      </c>
      <c r="F80" s="5">
        <v>2020</v>
      </c>
    </row>
    <row r="81" spans="1:6" ht="13" x14ac:dyDescent="0.15">
      <c r="A81" s="3" t="s">
        <v>15</v>
      </c>
      <c r="B81" s="4" t="s">
        <v>16</v>
      </c>
      <c r="C81" s="5">
        <v>158129</v>
      </c>
      <c r="D81" s="3" t="s">
        <v>9</v>
      </c>
      <c r="E81" s="3" t="s">
        <v>33</v>
      </c>
      <c r="F81" s="5">
        <v>2020</v>
      </c>
    </row>
    <row r="82" spans="1:6" ht="13" x14ac:dyDescent="0.15">
      <c r="A82" s="3" t="s">
        <v>17</v>
      </c>
      <c r="B82" s="4" t="s">
        <v>8</v>
      </c>
      <c r="C82" s="5">
        <v>2044</v>
      </c>
      <c r="D82" s="3" t="s">
        <v>9</v>
      </c>
      <c r="E82" s="3" t="s">
        <v>33</v>
      </c>
      <c r="F82" s="5">
        <v>2020</v>
      </c>
    </row>
    <row r="83" spans="1:6" ht="13" x14ac:dyDescent="0.15">
      <c r="A83" s="3" t="s">
        <v>17</v>
      </c>
      <c r="B83" s="4" t="s">
        <v>12</v>
      </c>
      <c r="C83" s="5">
        <v>7392</v>
      </c>
      <c r="D83" s="3" t="s">
        <v>9</v>
      </c>
      <c r="E83" s="3" t="s">
        <v>33</v>
      </c>
      <c r="F83" s="5">
        <v>2020</v>
      </c>
    </row>
    <row r="84" spans="1:6" ht="13" x14ac:dyDescent="0.15">
      <c r="A84" s="3" t="s">
        <v>17</v>
      </c>
      <c r="B84" s="4" t="s">
        <v>14</v>
      </c>
      <c r="C84" s="5">
        <v>103424</v>
      </c>
      <c r="D84" s="3" t="s">
        <v>9</v>
      </c>
      <c r="E84" s="3" t="s">
        <v>33</v>
      </c>
      <c r="F84" s="5">
        <v>2020</v>
      </c>
    </row>
    <row r="85" spans="1:6" ht="13" x14ac:dyDescent="0.15">
      <c r="A85" s="3" t="s">
        <v>17</v>
      </c>
      <c r="B85" s="4" t="s">
        <v>16</v>
      </c>
      <c r="C85" s="5">
        <v>82213</v>
      </c>
      <c r="D85" s="3" t="s">
        <v>9</v>
      </c>
      <c r="E85" s="3" t="s">
        <v>33</v>
      </c>
      <c r="F85" s="5">
        <v>2020</v>
      </c>
    </row>
    <row r="86" spans="1:6" ht="13" x14ac:dyDescent="0.15">
      <c r="A86" s="3" t="s">
        <v>18</v>
      </c>
      <c r="B86" s="4" t="s">
        <v>8</v>
      </c>
      <c r="C86" s="5">
        <v>3008</v>
      </c>
      <c r="D86" s="3" t="s">
        <v>9</v>
      </c>
      <c r="E86" s="3" t="s">
        <v>33</v>
      </c>
      <c r="F86" s="5">
        <v>2020</v>
      </c>
    </row>
    <row r="87" spans="1:6" ht="13" x14ac:dyDescent="0.15">
      <c r="A87" s="3" t="s">
        <v>18</v>
      </c>
      <c r="B87" s="4" t="s">
        <v>12</v>
      </c>
      <c r="C87" s="5">
        <v>12536</v>
      </c>
      <c r="D87" s="3" t="s">
        <v>9</v>
      </c>
      <c r="E87" s="3" t="s">
        <v>33</v>
      </c>
      <c r="F87" s="5">
        <v>2020</v>
      </c>
    </row>
    <row r="88" spans="1:6" ht="13" x14ac:dyDescent="0.15">
      <c r="A88" s="3" t="s">
        <v>18</v>
      </c>
      <c r="B88" s="4" t="s">
        <v>14</v>
      </c>
      <c r="C88" s="5">
        <v>293239</v>
      </c>
      <c r="D88" s="3" t="s">
        <v>9</v>
      </c>
      <c r="E88" s="3" t="s">
        <v>33</v>
      </c>
      <c r="F88" s="5">
        <v>2020</v>
      </c>
    </row>
    <row r="89" spans="1:6" ht="13" x14ac:dyDescent="0.15">
      <c r="A89" s="3" t="s">
        <v>18</v>
      </c>
      <c r="B89" s="4" t="s">
        <v>16</v>
      </c>
      <c r="C89" s="5">
        <v>232788</v>
      </c>
      <c r="D89" s="3" t="s">
        <v>9</v>
      </c>
      <c r="E89" s="3" t="s">
        <v>33</v>
      </c>
      <c r="F89" s="5">
        <v>2020</v>
      </c>
    </row>
    <row r="90" spans="1:6" ht="13" x14ac:dyDescent="0.15">
      <c r="A90" s="3" t="s">
        <v>19</v>
      </c>
      <c r="B90" s="4" t="s">
        <v>8</v>
      </c>
      <c r="C90" s="5">
        <v>5857</v>
      </c>
      <c r="D90" s="3" t="s">
        <v>9</v>
      </c>
      <c r="E90" s="3" t="s">
        <v>33</v>
      </c>
      <c r="F90" s="5">
        <v>2020</v>
      </c>
    </row>
    <row r="91" spans="1:6" ht="13" x14ac:dyDescent="0.15">
      <c r="A91" s="3" t="s">
        <v>19</v>
      </c>
      <c r="B91" s="4" t="s">
        <v>12</v>
      </c>
      <c r="C91" s="5">
        <v>20458</v>
      </c>
      <c r="D91" s="3" t="s">
        <v>9</v>
      </c>
      <c r="E91" s="3" t="s">
        <v>33</v>
      </c>
      <c r="F91" s="5">
        <v>2020</v>
      </c>
    </row>
    <row r="92" spans="1:6" ht="13" x14ac:dyDescent="0.15">
      <c r="A92" s="3" t="s">
        <v>19</v>
      </c>
      <c r="B92" s="4" t="s">
        <v>14</v>
      </c>
      <c r="C92" s="5">
        <v>326071</v>
      </c>
      <c r="D92" s="3" t="s">
        <v>9</v>
      </c>
      <c r="E92" s="3" t="s">
        <v>33</v>
      </c>
      <c r="F92" s="5">
        <v>2020</v>
      </c>
    </row>
    <row r="93" spans="1:6" ht="13" x14ac:dyDescent="0.15">
      <c r="A93" s="3" t="s">
        <v>19</v>
      </c>
      <c r="B93" s="4" t="s">
        <v>16</v>
      </c>
      <c r="C93" s="5">
        <v>263667</v>
      </c>
      <c r="D93" s="3" t="s">
        <v>9</v>
      </c>
      <c r="E93" s="3" t="s">
        <v>33</v>
      </c>
      <c r="F93" s="5">
        <v>2020</v>
      </c>
    </row>
    <row r="94" spans="1:6" ht="13" x14ac:dyDescent="0.15">
      <c r="A94" s="3" t="s">
        <v>21</v>
      </c>
      <c r="B94" s="4" t="s">
        <v>8</v>
      </c>
      <c r="C94" s="5">
        <v>5282</v>
      </c>
      <c r="D94" s="3" t="s">
        <v>9</v>
      </c>
      <c r="E94" s="3" t="s">
        <v>33</v>
      </c>
      <c r="F94" s="5">
        <v>2020</v>
      </c>
    </row>
    <row r="95" spans="1:6" ht="13" x14ac:dyDescent="0.15">
      <c r="A95" s="3" t="s">
        <v>21</v>
      </c>
      <c r="B95" s="4" t="s">
        <v>12</v>
      </c>
      <c r="C95" s="5">
        <v>18882</v>
      </c>
      <c r="D95" s="3" t="s">
        <v>9</v>
      </c>
      <c r="E95" s="3" t="s">
        <v>33</v>
      </c>
      <c r="F95" s="5">
        <v>2020</v>
      </c>
    </row>
    <row r="96" spans="1:6" ht="13" x14ac:dyDescent="0.15">
      <c r="A96" s="3" t="s">
        <v>21</v>
      </c>
      <c r="B96" s="4" t="s">
        <v>14</v>
      </c>
      <c r="C96" s="5">
        <v>176019</v>
      </c>
      <c r="D96" s="3" t="s">
        <v>9</v>
      </c>
      <c r="E96" s="3" t="s">
        <v>33</v>
      </c>
      <c r="F96" s="5">
        <v>2020</v>
      </c>
    </row>
    <row r="97" spans="1:6" ht="13" x14ac:dyDescent="0.15">
      <c r="A97" s="3" t="s">
        <v>21</v>
      </c>
      <c r="B97" s="4" t="s">
        <v>16</v>
      </c>
      <c r="C97" s="5">
        <v>153386</v>
      </c>
      <c r="D97" s="3" t="s">
        <v>9</v>
      </c>
      <c r="E97" s="3" t="s">
        <v>33</v>
      </c>
      <c r="F97" s="5">
        <v>2020</v>
      </c>
    </row>
    <row r="98" spans="1:6" ht="13" x14ac:dyDescent="0.15">
      <c r="A98" s="3" t="s">
        <v>22</v>
      </c>
      <c r="B98" s="4" t="s">
        <v>8</v>
      </c>
      <c r="C98" s="5">
        <v>5583</v>
      </c>
      <c r="D98" s="3" t="s">
        <v>9</v>
      </c>
      <c r="E98" s="3" t="s">
        <v>33</v>
      </c>
      <c r="F98" s="5">
        <v>2020</v>
      </c>
    </row>
    <row r="99" spans="1:6" ht="13" x14ac:dyDescent="0.15">
      <c r="A99" s="3" t="s">
        <v>22</v>
      </c>
      <c r="B99" s="4" t="s">
        <v>12</v>
      </c>
      <c r="C99" s="5">
        <v>18481</v>
      </c>
      <c r="D99" s="3" t="s">
        <v>9</v>
      </c>
      <c r="E99" s="3" t="s">
        <v>33</v>
      </c>
      <c r="F99" s="5">
        <v>2020</v>
      </c>
    </row>
    <row r="100" spans="1:6" ht="13" x14ac:dyDescent="0.15">
      <c r="A100" s="3" t="s">
        <v>22</v>
      </c>
      <c r="B100" s="4" t="s">
        <v>14</v>
      </c>
      <c r="C100" s="5">
        <v>372776</v>
      </c>
      <c r="D100" s="3" t="s">
        <v>9</v>
      </c>
      <c r="E100" s="3" t="s">
        <v>33</v>
      </c>
      <c r="F100" s="5">
        <v>2020</v>
      </c>
    </row>
    <row r="101" spans="1:6" ht="13" x14ac:dyDescent="0.15">
      <c r="A101" s="3" t="s">
        <v>22</v>
      </c>
      <c r="B101" s="4" t="s">
        <v>16</v>
      </c>
      <c r="C101" s="5">
        <v>336908</v>
      </c>
      <c r="D101" s="3" t="s">
        <v>9</v>
      </c>
      <c r="E101" s="3" t="s">
        <v>33</v>
      </c>
      <c r="F101" s="5">
        <v>2020</v>
      </c>
    </row>
    <row r="102" spans="1:6" ht="13" x14ac:dyDescent="0.15">
      <c r="A102" s="3" t="s">
        <v>23</v>
      </c>
      <c r="B102" s="4" t="s">
        <v>8</v>
      </c>
      <c r="C102" s="5">
        <v>7054</v>
      </c>
      <c r="D102" s="3" t="s">
        <v>31</v>
      </c>
      <c r="E102" s="3" t="s">
        <v>33</v>
      </c>
      <c r="F102" s="5">
        <v>2020</v>
      </c>
    </row>
    <row r="103" spans="1:6" ht="13" x14ac:dyDescent="0.15">
      <c r="A103" s="3" t="s">
        <v>23</v>
      </c>
      <c r="B103" s="4" t="s">
        <v>12</v>
      </c>
      <c r="C103" s="5">
        <v>21454</v>
      </c>
      <c r="D103" s="3" t="s">
        <v>31</v>
      </c>
      <c r="E103" s="3" t="s">
        <v>33</v>
      </c>
      <c r="F103" s="5">
        <v>2020</v>
      </c>
    </row>
    <row r="104" spans="1:6" ht="13" x14ac:dyDescent="0.15">
      <c r="A104" s="3" t="s">
        <v>23</v>
      </c>
      <c r="B104" s="4" t="s">
        <v>14</v>
      </c>
      <c r="C104" s="5">
        <v>326340</v>
      </c>
      <c r="D104" s="3" t="s">
        <v>31</v>
      </c>
      <c r="E104" s="3" t="s">
        <v>33</v>
      </c>
      <c r="F104" s="5">
        <v>2020</v>
      </c>
    </row>
    <row r="105" spans="1:6" ht="13" x14ac:dyDescent="0.15">
      <c r="A105" s="3" t="s">
        <v>23</v>
      </c>
      <c r="B105" s="4" t="s">
        <v>16</v>
      </c>
      <c r="C105" s="5">
        <v>277071</v>
      </c>
      <c r="D105" s="3" t="s">
        <v>31</v>
      </c>
      <c r="E105" s="3" t="s">
        <v>33</v>
      </c>
      <c r="F105" s="5">
        <v>2020</v>
      </c>
    </row>
    <row r="106" spans="1:6" ht="13" x14ac:dyDescent="0.15">
      <c r="A106" s="3" t="s">
        <v>24</v>
      </c>
      <c r="B106" s="4" t="s">
        <v>8</v>
      </c>
      <c r="C106" s="5">
        <v>4250</v>
      </c>
      <c r="D106" s="3" t="s">
        <v>31</v>
      </c>
      <c r="E106" s="3" t="s">
        <v>33</v>
      </c>
      <c r="F106" s="5">
        <v>2020</v>
      </c>
    </row>
    <row r="107" spans="1:6" ht="13" x14ac:dyDescent="0.15">
      <c r="A107" s="3" t="s">
        <v>24</v>
      </c>
      <c r="B107" s="4" t="s">
        <v>12</v>
      </c>
      <c r="C107" s="5">
        <v>19654</v>
      </c>
      <c r="D107" s="3" t="s">
        <v>31</v>
      </c>
      <c r="E107" s="3" t="s">
        <v>33</v>
      </c>
      <c r="F107" s="5">
        <v>2020</v>
      </c>
    </row>
    <row r="108" spans="1:6" ht="13" x14ac:dyDescent="0.15">
      <c r="A108" s="3" t="s">
        <v>24</v>
      </c>
      <c r="B108" s="4" t="s">
        <v>14</v>
      </c>
      <c r="C108" s="5">
        <v>287170</v>
      </c>
      <c r="D108" s="3" t="s">
        <v>31</v>
      </c>
      <c r="E108" s="3" t="s">
        <v>33</v>
      </c>
      <c r="F108" s="5">
        <v>2020</v>
      </c>
    </row>
    <row r="109" spans="1:6" ht="13" x14ac:dyDescent="0.15">
      <c r="A109" s="3" t="s">
        <v>24</v>
      </c>
      <c r="B109" s="4" t="s">
        <v>16</v>
      </c>
      <c r="C109" s="5">
        <v>237001</v>
      </c>
      <c r="D109" s="3" t="s">
        <v>31</v>
      </c>
      <c r="E109" s="3" t="s">
        <v>33</v>
      </c>
      <c r="F109" s="5">
        <v>2020</v>
      </c>
    </row>
    <row r="110" spans="1:6" ht="13" x14ac:dyDescent="0.15">
      <c r="A110" s="3" t="s">
        <v>25</v>
      </c>
      <c r="B110" s="4" t="s">
        <v>8</v>
      </c>
      <c r="C110" s="5">
        <v>3546</v>
      </c>
      <c r="D110" s="3" t="s">
        <v>31</v>
      </c>
      <c r="E110" s="3" t="s">
        <v>33</v>
      </c>
      <c r="F110" s="5">
        <v>2020</v>
      </c>
    </row>
    <row r="111" spans="1:6" ht="13" x14ac:dyDescent="0.15">
      <c r="A111" s="3" t="s">
        <v>25</v>
      </c>
      <c r="B111" s="4" t="s">
        <v>12</v>
      </c>
      <c r="C111" s="5">
        <v>15029</v>
      </c>
      <c r="D111" s="3" t="s">
        <v>31</v>
      </c>
      <c r="E111" s="3" t="s">
        <v>33</v>
      </c>
      <c r="F111" s="5">
        <v>2020</v>
      </c>
    </row>
    <row r="112" spans="1:6" ht="13" x14ac:dyDescent="0.15">
      <c r="A112" s="3" t="s">
        <v>25</v>
      </c>
      <c r="B112" s="4" t="s">
        <v>14</v>
      </c>
      <c r="C112" s="5">
        <v>258423</v>
      </c>
      <c r="D112" s="3" t="s">
        <v>31</v>
      </c>
      <c r="E112" s="3" t="s">
        <v>33</v>
      </c>
      <c r="F112" s="5">
        <v>2020</v>
      </c>
    </row>
    <row r="113" spans="1:6" ht="13" x14ac:dyDescent="0.15">
      <c r="A113" s="3" t="s">
        <v>25</v>
      </c>
      <c r="B113" s="4" t="s">
        <v>16</v>
      </c>
      <c r="C113" s="5">
        <v>234264</v>
      </c>
      <c r="D113" s="3" t="s">
        <v>31</v>
      </c>
      <c r="E113" s="3" t="s">
        <v>33</v>
      </c>
      <c r="F113" s="5">
        <v>2020</v>
      </c>
    </row>
    <row r="114" spans="1:6" ht="13" x14ac:dyDescent="0.15">
      <c r="A114" s="3" t="s">
        <v>20</v>
      </c>
      <c r="B114" s="4" t="s">
        <v>8</v>
      </c>
      <c r="C114" s="5">
        <v>4971</v>
      </c>
      <c r="D114" s="3" t="s">
        <v>32</v>
      </c>
      <c r="E114" s="3" t="s">
        <v>33</v>
      </c>
      <c r="F114" s="5">
        <v>2020</v>
      </c>
    </row>
    <row r="115" spans="1:6" ht="13" x14ac:dyDescent="0.15">
      <c r="A115" s="3" t="s">
        <v>20</v>
      </c>
      <c r="B115" s="4" t="s">
        <v>12</v>
      </c>
      <c r="C115" s="5">
        <v>17645</v>
      </c>
      <c r="D115" s="3" t="s">
        <v>32</v>
      </c>
      <c r="E115" s="3" t="s">
        <v>33</v>
      </c>
      <c r="F115" s="5">
        <v>2020</v>
      </c>
    </row>
    <row r="116" spans="1:6" ht="13" x14ac:dyDescent="0.15">
      <c r="A116" s="3" t="s">
        <v>20</v>
      </c>
      <c r="B116" s="4" t="s">
        <v>14</v>
      </c>
      <c r="C116" s="5">
        <v>266270</v>
      </c>
      <c r="D116" s="3" t="s">
        <v>32</v>
      </c>
      <c r="E116" s="3" t="s">
        <v>33</v>
      </c>
      <c r="F116" s="5">
        <v>2020</v>
      </c>
    </row>
    <row r="117" spans="1:6" ht="13" x14ac:dyDescent="0.15">
      <c r="A117" s="3" t="s">
        <v>20</v>
      </c>
      <c r="B117" s="4" t="s">
        <v>16</v>
      </c>
      <c r="C117" s="5">
        <v>207083</v>
      </c>
      <c r="D117" s="3" t="s">
        <v>32</v>
      </c>
      <c r="E117" s="3" t="s">
        <v>33</v>
      </c>
      <c r="F117" s="5">
        <v>2020</v>
      </c>
    </row>
    <row r="118" spans="1:6" ht="13" x14ac:dyDescent="0.15">
      <c r="A118" s="3" t="s">
        <v>26</v>
      </c>
      <c r="B118" s="4" t="s">
        <v>8</v>
      </c>
      <c r="C118" s="5">
        <v>1770</v>
      </c>
      <c r="D118" s="3" t="s">
        <v>32</v>
      </c>
      <c r="E118" s="3" t="s">
        <v>33</v>
      </c>
      <c r="F118" s="5">
        <v>2020</v>
      </c>
    </row>
    <row r="119" spans="1:6" ht="13" x14ac:dyDescent="0.15">
      <c r="A119" s="3" t="s">
        <v>26</v>
      </c>
      <c r="B119" s="4" t="s">
        <v>12</v>
      </c>
      <c r="C119" s="5">
        <v>9611</v>
      </c>
      <c r="D119" s="3" t="s">
        <v>32</v>
      </c>
      <c r="E119" s="3" t="s">
        <v>33</v>
      </c>
      <c r="F119" s="5">
        <v>2020</v>
      </c>
    </row>
    <row r="120" spans="1:6" ht="13" x14ac:dyDescent="0.15">
      <c r="A120" s="3" t="s">
        <v>26</v>
      </c>
      <c r="B120" s="4" t="s">
        <v>14</v>
      </c>
      <c r="C120" s="5">
        <v>225941</v>
      </c>
      <c r="D120" s="3" t="s">
        <v>32</v>
      </c>
      <c r="E120" s="3" t="s">
        <v>33</v>
      </c>
      <c r="F120" s="5">
        <v>2020</v>
      </c>
    </row>
    <row r="121" spans="1:6" ht="13" x14ac:dyDescent="0.15">
      <c r="A121" s="3" t="s">
        <v>26</v>
      </c>
      <c r="B121" s="4" t="s">
        <v>16</v>
      </c>
      <c r="C121" s="5">
        <v>210695</v>
      </c>
      <c r="D121" s="3" t="s">
        <v>32</v>
      </c>
      <c r="E121" s="3" t="s">
        <v>33</v>
      </c>
      <c r="F121" s="5">
        <v>2020</v>
      </c>
    </row>
    <row r="122" spans="1:6" ht="13" x14ac:dyDescent="0.15">
      <c r="A122" s="3" t="s">
        <v>27</v>
      </c>
      <c r="B122" s="4" t="s">
        <v>8</v>
      </c>
      <c r="C122" s="5">
        <v>2172</v>
      </c>
      <c r="D122" s="3" t="s">
        <v>32</v>
      </c>
      <c r="E122" s="3" t="s">
        <v>33</v>
      </c>
      <c r="F122" s="5">
        <v>2020</v>
      </c>
    </row>
    <row r="123" spans="1:6" ht="13" x14ac:dyDescent="0.15">
      <c r="A123" s="3" t="s">
        <v>27</v>
      </c>
      <c r="B123" s="4" t="s">
        <v>12</v>
      </c>
      <c r="C123" s="5">
        <v>10958</v>
      </c>
      <c r="D123" s="3" t="s">
        <v>32</v>
      </c>
      <c r="E123" s="3" t="s">
        <v>33</v>
      </c>
      <c r="F123" s="5">
        <v>2020</v>
      </c>
    </row>
    <row r="124" spans="1:6" ht="13" x14ac:dyDescent="0.15">
      <c r="A124" s="3" t="s">
        <v>27</v>
      </c>
      <c r="B124" s="4" t="s">
        <v>14</v>
      </c>
      <c r="C124" s="5">
        <v>218680</v>
      </c>
      <c r="D124" s="3" t="s">
        <v>32</v>
      </c>
      <c r="E124" s="3" t="s">
        <v>33</v>
      </c>
      <c r="F124" s="5">
        <v>2020</v>
      </c>
    </row>
    <row r="125" spans="1:6" ht="13" x14ac:dyDescent="0.15">
      <c r="A125" s="3" t="s">
        <v>27</v>
      </c>
      <c r="B125" s="4" t="s">
        <v>16</v>
      </c>
      <c r="C125" s="5">
        <v>177367</v>
      </c>
      <c r="D125" s="3" t="s">
        <v>32</v>
      </c>
      <c r="E125" s="3" t="s">
        <v>33</v>
      </c>
      <c r="F125" s="5">
        <v>2020</v>
      </c>
    </row>
    <row r="126" spans="1:6" ht="13" x14ac:dyDescent="0.15">
      <c r="A126" s="3" t="s">
        <v>28</v>
      </c>
      <c r="B126" s="4" t="s">
        <v>8</v>
      </c>
      <c r="C126" s="5">
        <v>996</v>
      </c>
      <c r="D126" s="3" t="s">
        <v>32</v>
      </c>
      <c r="E126" s="3" t="s">
        <v>33</v>
      </c>
      <c r="F126" s="5">
        <v>2020</v>
      </c>
    </row>
    <row r="127" spans="1:6" ht="13" x14ac:dyDescent="0.15">
      <c r="A127" s="3" t="s">
        <v>28</v>
      </c>
      <c r="B127" s="4" t="s">
        <v>12</v>
      </c>
      <c r="C127" s="5">
        <v>10143</v>
      </c>
      <c r="D127" s="3" t="s">
        <v>32</v>
      </c>
      <c r="E127" s="3" t="s">
        <v>33</v>
      </c>
      <c r="F127" s="5">
        <v>2020</v>
      </c>
    </row>
    <row r="128" spans="1:6" ht="13" x14ac:dyDescent="0.15">
      <c r="A128" s="3" t="s">
        <v>28</v>
      </c>
      <c r="B128" s="4" t="s">
        <v>14</v>
      </c>
      <c r="C128" s="5">
        <v>204955</v>
      </c>
      <c r="D128" s="3" t="s">
        <v>32</v>
      </c>
      <c r="E128" s="3" t="s">
        <v>33</v>
      </c>
      <c r="F128" s="5">
        <v>2020</v>
      </c>
    </row>
    <row r="129" spans="1:6" ht="13" x14ac:dyDescent="0.15">
      <c r="A129" s="3" t="s">
        <v>28</v>
      </c>
      <c r="B129" s="4" t="s">
        <v>16</v>
      </c>
      <c r="C129" s="5">
        <v>195624</v>
      </c>
      <c r="D129" s="3" t="s">
        <v>32</v>
      </c>
      <c r="E129" s="3" t="s">
        <v>33</v>
      </c>
      <c r="F129" s="5">
        <v>2020</v>
      </c>
    </row>
    <row r="130" spans="1:6" ht="13" x14ac:dyDescent="0.15">
      <c r="A130" s="3" t="s">
        <v>11</v>
      </c>
      <c r="B130" s="4" t="s">
        <v>8</v>
      </c>
      <c r="C130" s="5">
        <v>559</v>
      </c>
      <c r="D130" s="3" t="s">
        <v>32</v>
      </c>
      <c r="E130" s="3" t="s">
        <v>33</v>
      </c>
      <c r="F130" s="5">
        <v>2020</v>
      </c>
    </row>
    <row r="131" spans="1:6" ht="13" x14ac:dyDescent="0.15">
      <c r="A131" s="3" t="s">
        <v>11</v>
      </c>
      <c r="B131" s="4" t="s">
        <v>12</v>
      </c>
      <c r="C131" s="5">
        <v>2013</v>
      </c>
      <c r="D131" s="3" t="s">
        <v>32</v>
      </c>
      <c r="E131" s="3" t="s">
        <v>33</v>
      </c>
      <c r="F131" s="5">
        <v>2020</v>
      </c>
    </row>
    <row r="132" spans="1:6" ht="13" x14ac:dyDescent="0.15">
      <c r="A132" s="3" t="s">
        <v>11</v>
      </c>
      <c r="B132" s="4" t="s">
        <v>14</v>
      </c>
      <c r="C132" s="5">
        <v>326467</v>
      </c>
      <c r="D132" s="3" t="s">
        <v>32</v>
      </c>
      <c r="E132" s="3" t="s">
        <v>33</v>
      </c>
      <c r="F132" s="5">
        <v>2020</v>
      </c>
    </row>
    <row r="133" spans="1:6" ht="13" x14ac:dyDescent="0.15">
      <c r="A133" s="3" t="s">
        <v>11</v>
      </c>
      <c r="B133" s="4" t="s">
        <v>16</v>
      </c>
      <c r="C133" s="5">
        <v>355781</v>
      </c>
      <c r="D133" s="3" t="s">
        <v>32</v>
      </c>
      <c r="E133" s="3" t="s">
        <v>33</v>
      </c>
      <c r="F133" s="5">
        <v>2020</v>
      </c>
    </row>
    <row r="134" spans="1:6" ht="13" x14ac:dyDescent="0.15">
      <c r="A134" s="3" t="s">
        <v>7</v>
      </c>
      <c r="B134" s="4" t="s">
        <v>8</v>
      </c>
      <c r="C134" s="5">
        <v>2525</v>
      </c>
      <c r="D134" s="3" t="s">
        <v>9</v>
      </c>
      <c r="E134" s="3" t="s">
        <v>34</v>
      </c>
      <c r="F134" s="5">
        <v>2020</v>
      </c>
    </row>
    <row r="135" spans="1:6" ht="13" x14ac:dyDescent="0.15">
      <c r="A135" s="3" t="s">
        <v>7</v>
      </c>
      <c r="B135" s="4" t="s">
        <v>12</v>
      </c>
      <c r="C135" s="5">
        <v>8820</v>
      </c>
      <c r="D135" s="3" t="s">
        <v>9</v>
      </c>
      <c r="E135" s="3" t="s">
        <v>34</v>
      </c>
      <c r="F135" s="5">
        <v>2020</v>
      </c>
    </row>
    <row r="136" spans="1:6" ht="13" x14ac:dyDescent="0.15">
      <c r="A136" s="3" t="s">
        <v>7</v>
      </c>
      <c r="B136" s="4" t="s">
        <v>14</v>
      </c>
      <c r="C136" s="5">
        <v>209781</v>
      </c>
      <c r="D136" s="3" t="s">
        <v>9</v>
      </c>
      <c r="E136" s="3" t="s">
        <v>34</v>
      </c>
      <c r="F136" s="5">
        <v>2020</v>
      </c>
    </row>
    <row r="137" spans="1:6" ht="13" x14ac:dyDescent="0.15">
      <c r="A137" s="3" t="s">
        <v>7</v>
      </c>
      <c r="B137" s="4" t="s">
        <v>16</v>
      </c>
      <c r="C137" s="5">
        <v>179263</v>
      </c>
      <c r="D137" s="3" t="s">
        <v>9</v>
      </c>
      <c r="E137" s="3" t="s">
        <v>34</v>
      </c>
      <c r="F137" s="5">
        <v>2020</v>
      </c>
    </row>
    <row r="138" spans="1:6" ht="13" x14ac:dyDescent="0.15">
      <c r="A138" s="3" t="s">
        <v>13</v>
      </c>
      <c r="B138" s="4" t="s">
        <v>8</v>
      </c>
      <c r="C138" s="5">
        <v>1388</v>
      </c>
      <c r="D138" s="3" t="s">
        <v>9</v>
      </c>
      <c r="E138" s="3" t="s">
        <v>34</v>
      </c>
      <c r="F138" s="5">
        <v>2020</v>
      </c>
    </row>
    <row r="139" spans="1:6" ht="13" x14ac:dyDescent="0.15">
      <c r="A139" s="3" t="s">
        <v>13</v>
      </c>
      <c r="B139" s="4" t="s">
        <v>12</v>
      </c>
      <c r="C139" s="5">
        <v>4579</v>
      </c>
      <c r="D139" s="3" t="s">
        <v>9</v>
      </c>
      <c r="E139" s="3" t="s">
        <v>34</v>
      </c>
      <c r="F139" s="5">
        <v>2020</v>
      </c>
    </row>
    <row r="140" spans="1:6" ht="13" x14ac:dyDescent="0.15">
      <c r="A140" s="3" t="s">
        <v>13</v>
      </c>
      <c r="B140" s="4" t="s">
        <v>14</v>
      </c>
      <c r="C140" s="5">
        <v>49437</v>
      </c>
      <c r="D140" s="3" t="s">
        <v>9</v>
      </c>
      <c r="E140" s="3" t="s">
        <v>34</v>
      </c>
      <c r="F140" s="5">
        <v>2020</v>
      </c>
    </row>
    <row r="141" spans="1:6" ht="13" x14ac:dyDescent="0.15">
      <c r="A141" s="3" t="s">
        <v>13</v>
      </c>
      <c r="B141" s="4" t="s">
        <v>16</v>
      </c>
      <c r="C141" s="5">
        <v>50702</v>
      </c>
      <c r="D141" s="3" t="s">
        <v>9</v>
      </c>
      <c r="E141" s="3" t="s">
        <v>34</v>
      </c>
      <c r="F141" s="5">
        <v>2020</v>
      </c>
    </row>
    <row r="142" spans="1:6" ht="13" x14ac:dyDescent="0.15">
      <c r="A142" s="3" t="s">
        <v>15</v>
      </c>
      <c r="B142" s="4" t="s">
        <v>8</v>
      </c>
      <c r="C142" s="5">
        <v>4808</v>
      </c>
      <c r="D142" s="3" t="s">
        <v>9</v>
      </c>
      <c r="E142" s="3" t="s">
        <v>34</v>
      </c>
      <c r="F142" s="5">
        <v>2020</v>
      </c>
    </row>
    <row r="143" spans="1:6" ht="13" x14ac:dyDescent="0.15">
      <c r="A143" s="3" t="s">
        <v>15</v>
      </c>
      <c r="B143" s="4" t="s">
        <v>12</v>
      </c>
      <c r="C143" s="5">
        <v>16715</v>
      </c>
      <c r="D143" s="3" t="s">
        <v>9</v>
      </c>
      <c r="E143" s="3" t="s">
        <v>34</v>
      </c>
      <c r="F143" s="5">
        <v>2020</v>
      </c>
    </row>
    <row r="144" spans="1:6" ht="13" x14ac:dyDescent="0.15">
      <c r="A144" s="3" t="s">
        <v>15</v>
      </c>
      <c r="B144" s="4" t="s">
        <v>14</v>
      </c>
      <c r="C144" s="5">
        <v>196612</v>
      </c>
      <c r="D144" s="3" t="s">
        <v>9</v>
      </c>
      <c r="E144" s="3" t="s">
        <v>34</v>
      </c>
      <c r="F144" s="5">
        <v>2020</v>
      </c>
    </row>
    <row r="145" spans="1:6" ht="13" x14ac:dyDescent="0.15">
      <c r="A145" s="3" t="s">
        <v>15</v>
      </c>
      <c r="B145" s="4" t="s">
        <v>16</v>
      </c>
      <c r="C145" s="5">
        <v>160358</v>
      </c>
      <c r="D145" s="3" t="s">
        <v>9</v>
      </c>
      <c r="E145" s="3" t="s">
        <v>34</v>
      </c>
      <c r="F145" s="5">
        <v>2020</v>
      </c>
    </row>
    <row r="146" spans="1:6" ht="13" x14ac:dyDescent="0.15">
      <c r="A146" s="3" t="s">
        <v>17</v>
      </c>
      <c r="B146" s="4" t="s">
        <v>8</v>
      </c>
      <c r="C146" s="5">
        <v>1789</v>
      </c>
      <c r="D146" s="3" t="s">
        <v>9</v>
      </c>
      <c r="E146" s="3" t="s">
        <v>34</v>
      </c>
      <c r="F146" s="5">
        <v>2020</v>
      </c>
    </row>
    <row r="147" spans="1:6" ht="13" x14ac:dyDescent="0.15">
      <c r="A147" s="3" t="s">
        <v>17</v>
      </c>
      <c r="B147" s="4" t="s">
        <v>12</v>
      </c>
      <c r="C147" s="5">
        <v>6958</v>
      </c>
      <c r="D147" s="3" t="s">
        <v>9</v>
      </c>
      <c r="E147" s="3" t="s">
        <v>34</v>
      </c>
      <c r="F147" s="5">
        <v>2020</v>
      </c>
    </row>
    <row r="148" spans="1:6" ht="13" x14ac:dyDescent="0.15">
      <c r="A148" s="3" t="s">
        <v>17</v>
      </c>
      <c r="B148" s="4" t="s">
        <v>14</v>
      </c>
      <c r="C148" s="5">
        <v>99057</v>
      </c>
      <c r="D148" s="3" t="s">
        <v>9</v>
      </c>
      <c r="E148" s="3" t="s">
        <v>34</v>
      </c>
      <c r="F148" s="5">
        <v>2020</v>
      </c>
    </row>
    <row r="149" spans="1:6" ht="13" x14ac:dyDescent="0.15">
      <c r="A149" s="3" t="s">
        <v>17</v>
      </c>
      <c r="B149" s="4" t="s">
        <v>16</v>
      </c>
      <c r="C149" s="5">
        <v>83603</v>
      </c>
      <c r="D149" s="3" t="s">
        <v>9</v>
      </c>
      <c r="E149" s="3" t="s">
        <v>34</v>
      </c>
      <c r="F149" s="5">
        <v>2020</v>
      </c>
    </row>
    <row r="150" spans="1:6" ht="13" x14ac:dyDescent="0.15">
      <c r="A150" s="3" t="s">
        <v>18</v>
      </c>
      <c r="B150" s="4" t="s">
        <v>8</v>
      </c>
      <c r="C150" s="5">
        <v>2696</v>
      </c>
      <c r="D150" s="3" t="s">
        <v>9</v>
      </c>
      <c r="E150" s="3" t="s">
        <v>34</v>
      </c>
      <c r="F150" s="5">
        <v>2020</v>
      </c>
    </row>
    <row r="151" spans="1:6" ht="13" x14ac:dyDescent="0.15">
      <c r="A151" s="3" t="s">
        <v>18</v>
      </c>
      <c r="B151" s="4" t="s">
        <v>12</v>
      </c>
      <c r="C151" s="5">
        <v>11309</v>
      </c>
      <c r="D151" s="3" t="s">
        <v>9</v>
      </c>
      <c r="E151" s="3" t="s">
        <v>34</v>
      </c>
      <c r="F151" s="5">
        <v>2020</v>
      </c>
    </row>
    <row r="152" spans="1:6" ht="13" x14ac:dyDescent="0.15">
      <c r="A152" s="3" t="s">
        <v>18</v>
      </c>
      <c r="B152" s="4" t="s">
        <v>14</v>
      </c>
      <c r="C152" s="5">
        <v>279116</v>
      </c>
      <c r="D152" s="3" t="s">
        <v>9</v>
      </c>
      <c r="E152" s="3" t="s">
        <v>34</v>
      </c>
      <c r="F152" s="5">
        <v>2020</v>
      </c>
    </row>
    <row r="153" spans="1:6" ht="13" x14ac:dyDescent="0.15">
      <c r="A153" s="3" t="s">
        <v>18</v>
      </c>
      <c r="B153" s="4" t="s">
        <v>16</v>
      </c>
      <c r="C153" s="5">
        <v>235635</v>
      </c>
      <c r="D153" s="3" t="s">
        <v>9</v>
      </c>
      <c r="E153" s="3" t="s">
        <v>34</v>
      </c>
      <c r="F153" s="5">
        <v>2020</v>
      </c>
    </row>
    <row r="154" spans="1:6" ht="13" x14ac:dyDescent="0.15">
      <c r="A154" s="3" t="s">
        <v>19</v>
      </c>
      <c r="B154" s="4" t="s">
        <v>8</v>
      </c>
      <c r="C154" s="5">
        <v>5005</v>
      </c>
      <c r="D154" s="3" t="s">
        <v>9</v>
      </c>
      <c r="E154" s="3" t="s">
        <v>34</v>
      </c>
      <c r="F154" s="5">
        <v>2020</v>
      </c>
    </row>
    <row r="155" spans="1:6" ht="13" x14ac:dyDescent="0.15">
      <c r="A155" s="3" t="s">
        <v>19</v>
      </c>
      <c r="B155" s="4" t="s">
        <v>12</v>
      </c>
      <c r="C155" s="5">
        <v>19327</v>
      </c>
      <c r="D155" s="3" t="s">
        <v>9</v>
      </c>
      <c r="E155" s="3" t="s">
        <v>34</v>
      </c>
      <c r="F155" s="5">
        <v>2020</v>
      </c>
    </row>
    <row r="156" spans="1:6" ht="13" x14ac:dyDescent="0.15">
      <c r="A156" s="3" t="s">
        <v>19</v>
      </c>
      <c r="B156" s="4" t="s">
        <v>14</v>
      </c>
      <c r="C156" s="5">
        <v>312673</v>
      </c>
      <c r="D156" s="3" t="s">
        <v>9</v>
      </c>
      <c r="E156" s="3" t="s">
        <v>34</v>
      </c>
      <c r="F156" s="5">
        <v>2020</v>
      </c>
    </row>
    <row r="157" spans="1:6" ht="13" x14ac:dyDescent="0.15">
      <c r="A157" s="3" t="s">
        <v>19</v>
      </c>
      <c r="B157" s="4" t="s">
        <v>16</v>
      </c>
      <c r="C157" s="5">
        <v>267610</v>
      </c>
      <c r="D157" s="3" t="s">
        <v>9</v>
      </c>
      <c r="E157" s="3" t="s">
        <v>34</v>
      </c>
      <c r="F157" s="5">
        <v>2020</v>
      </c>
    </row>
    <row r="158" spans="1:6" ht="13" x14ac:dyDescent="0.15">
      <c r="A158" s="3" t="s">
        <v>21</v>
      </c>
      <c r="B158" s="4" t="s">
        <v>8</v>
      </c>
      <c r="C158" s="5">
        <v>4977</v>
      </c>
      <c r="D158" s="3" t="s">
        <v>9</v>
      </c>
      <c r="E158" s="3" t="s">
        <v>34</v>
      </c>
      <c r="F158" s="5">
        <v>2020</v>
      </c>
    </row>
    <row r="159" spans="1:6" ht="13" x14ac:dyDescent="0.15">
      <c r="A159" s="3" t="s">
        <v>21</v>
      </c>
      <c r="B159" s="4" t="s">
        <v>12</v>
      </c>
      <c r="C159" s="5">
        <v>18305</v>
      </c>
      <c r="D159" s="3" t="s">
        <v>9</v>
      </c>
      <c r="E159" s="3" t="s">
        <v>34</v>
      </c>
      <c r="F159" s="5">
        <v>2020</v>
      </c>
    </row>
    <row r="160" spans="1:6" ht="13" x14ac:dyDescent="0.15">
      <c r="A160" s="3" t="s">
        <v>21</v>
      </c>
      <c r="B160" s="4" t="s">
        <v>14</v>
      </c>
      <c r="C160" s="5">
        <v>172066</v>
      </c>
      <c r="D160" s="3" t="s">
        <v>9</v>
      </c>
      <c r="E160" s="3" t="s">
        <v>34</v>
      </c>
      <c r="F160" s="5">
        <v>2020</v>
      </c>
    </row>
    <row r="161" spans="1:6" ht="13" x14ac:dyDescent="0.15">
      <c r="A161" s="3" t="s">
        <v>21</v>
      </c>
      <c r="B161" s="4" t="s">
        <v>16</v>
      </c>
      <c r="C161" s="5">
        <v>154608</v>
      </c>
      <c r="D161" s="3" t="s">
        <v>9</v>
      </c>
      <c r="E161" s="3" t="s">
        <v>34</v>
      </c>
      <c r="F161" s="5">
        <v>2020</v>
      </c>
    </row>
    <row r="162" spans="1:6" ht="13" x14ac:dyDescent="0.15">
      <c r="A162" s="3" t="s">
        <v>22</v>
      </c>
      <c r="B162" s="4" t="s">
        <v>8</v>
      </c>
      <c r="C162" s="5">
        <v>5295</v>
      </c>
      <c r="D162" s="3" t="s">
        <v>9</v>
      </c>
      <c r="E162" s="3" t="s">
        <v>34</v>
      </c>
      <c r="F162" s="5">
        <v>2020</v>
      </c>
    </row>
    <row r="163" spans="1:6" ht="13" x14ac:dyDescent="0.15">
      <c r="A163" s="3" t="s">
        <v>22</v>
      </c>
      <c r="B163" s="4" t="s">
        <v>12</v>
      </c>
      <c r="C163" s="5">
        <v>18245</v>
      </c>
      <c r="D163" s="3" t="s">
        <v>9</v>
      </c>
      <c r="E163" s="3" t="s">
        <v>34</v>
      </c>
      <c r="F163" s="5">
        <v>2020</v>
      </c>
    </row>
    <row r="164" spans="1:6" ht="13" x14ac:dyDescent="0.15">
      <c r="A164" s="3" t="s">
        <v>22</v>
      </c>
      <c r="B164" s="4" t="s">
        <v>14</v>
      </c>
      <c r="C164" s="5">
        <v>360610</v>
      </c>
      <c r="D164" s="3" t="s">
        <v>9</v>
      </c>
      <c r="E164" s="3" t="s">
        <v>34</v>
      </c>
      <c r="F164" s="5">
        <v>2020</v>
      </c>
    </row>
    <row r="165" spans="1:6" ht="13" x14ac:dyDescent="0.15">
      <c r="A165" s="3" t="s">
        <v>22</v>
      </c>
      <c r="B165" s="4" t="s">
        <v>16</v>
      </c>
      <c r="C165" s="5">
        <v>341244</v>
      </c>
      <c r="D165" s="3" t="s">
        <v>9</v>
      </c>
      <c r="E165" s="3" t="s">
        <v>34</v>
      </c>
      <c r="F165" s="5">
        <v>2020</v>
      </c>
    </row>
    <row r="166" spans="1:6" ht="13" x14ac:dyDescent="0.15">
      <c r="A166" s="3" t="s">
        <v>23</v>
      </c>
      <c r="B166" s="4" t="s">
        <v>8</v>
      </c>
      <c r="C166" s="5">
        <v>6047</v>
      </c>
      <c r="D166" s="3" t="s">
        <v>31</v>
      </c>
      <c r="E166" s="3" t="s">
        <v>34</v>
      </c>
      <c r="F166" s="5">
        <v>2020</v>
      </c>
    </row>
    <row r="167" spans="1:6" ht="13" x14ac:dyDescent="0.15">
      <c r="A167" s="3" t="s">
        <v>23</v>
      </c>
      <c r="B167" s="4" t="s">
        <v>12</v>
      </c>
      <c r="C167" s="5">
        <v>20239</v>
      </c>
      <c r="D167" s="3" t="s">
        <v>31</v>
      </c>
      <c r="E167" s="3" t="s">
        <v>34</v>
      </c>
      <c r="F167" s="5">
        <v>2020</v>
      </c>
    </row>
    <row r="168" spans="1:6" ht="13" x14ac:dyDescent="0.15">
      <c r="A168" s="3" t="s">
        <v>23</v>
      </c>
      <c r="B168" s="4" t="s">
        <v>14</v>
      </c>
      <c r="C168" s="5">
        <v>312630</v>
      </c>
      <c r="D168" s="3" t="s">
        <v>31</v>
      </c>
      <c r="E168" s="3" t="s">
        <v>34</v>
      </c>
      <c r="F168" s="5">
        <v>2020</v>
      </c>
    </row>
    <row r="169" spans="1:6" ht="13" x14ac:dyDescent="0.15">
      <c r="A169" s="3" t="s">
        <v>23</v>
      </c>
      <c r="B169" s="4" t="s">
        <v>16</v>
      </c>
      <c r="C169" s="5">
        <v>278795</v>
      </c>
      <c r="D169" s="3" t="s">
        <v>31</v>
      </c>
      <c r="E169" s="3" t="s">
        <v>34</v>
      </c>
      <c r="F169" s="5">
        <v>2020</v>
      </c>
    </row>
    <row r="170" spans="1:6" ht="13" x14ac:dyDescent="0.15">
      <c r="A170" s="3" t="s">
        <v>24</v>
      </c>
      <c r="B170" s="4" t="s">
        <v>8</v>
      </c>
      <c r="C170" s="5">
        <v>3510</v>
      </c>
      <c r="D170" s="3" t="s">
        <v>31</v>
      </c>
      <c r="E170" s="3" t="s">
        <v>34</v>
      </c>
      <c r="F170" s="5">
        <v>2020</v>
      </c>
    </row>
    <row r="171" spans="1:6" ht="13" x14ac:dyDescent="0.15">
      <c r="A171" s="3" t="s">
        <v>24</v>
      </c>
      <c r="B171" s="4" t="s">
        <v>12</v>
      </c>
      <c r="C171" s="5">
        <v>17628</v>
      </c>
      <c r="D171" s="3" t="s">
        <v>31</v>
      </c>
      <c r="E171" s="3" t="s">
        <v>34</v>
      </c>
      <c r="F171" s="5">
        <v>2020</v>
      </c>
    </row>
    <row r="172" spans="1:6" ht="13" x14ac:dyDescent="0.15">
      <c r="A172" s="3" t="s">
        <v>24</v>
      </c>
      <c r="B172" s="4" t="s">
        <v>14</v>
      </c>
      <c r="C172" s="5">
        <v>274540</v>
      </c>
      <c r="D172" s="3" t="s">
        <v>31</v>
      </c>
      <c r="E172" s="3" t="s">
        <v>34</v>
      </c>
      <c r="F172" s="5">
        <v>2020</v>
      </c>
    </row>
    <row r="173" spans="1:6" ht="13" x14ac:dyDescent="0.15">
      <c r="A173" s="3" t="s">
        <v>24</v>
      </c>
      <c r="B173" s="4" t="s">
        <v>16</v>
      </c>
      <c r="C173" s="5">
        <v>238941</v>
      </c>
      <c r="D173" s="3" t="s">
        <v>31</v>
      </c>
      <c r="E173" s="3" t="s">
        <v>34</v>
      </c>
      <c r="F173" s="5">
        <v>2020</v>
      </c>
    </row>
    <row r="174" spans="1:6" ht="13" x14ac:dyDescent="0.15">
      <c r="A174" s="3" t="s">
        <v>25</v>
      </c>
      <c r="B174" s="4" t="s">
        <v>8</v>
      </c>
      <c r="C174" s="5">
        <v>3128</v>
      </c>
      <c r="D174" s="3" t="s">
        <v>31</v>
      </c>
      <c r="E174" s="3" t="s">
        <v>34</v>
      </c>
      <c r="F174" s="5">
        <v>2020</v>
      </c>
    </row>
    <row r="175" spans="1:6" ht="13" x14ac:dyDescent="0.15">
      <c r="A175" s="3" t="s">
        <v>25</v>
      </c>
      <c r="B175" s="4" t="s">
        <v>12</v>
      </c>
      <c r="C175" s="5">
        <v>13622</v>
      </c>
      <c r="D175" s="3" t="s">
        <v>31</v>
      </c>
      <c r="E175" s="3" t="s">
        <v>34</v>
      </c>
      <c r="F175" s="5">
        <v>2020</v>
      </c>
    </row>
    <row r="176" spans="1:6" ht="13" x14ac:dyDescent="0.15">
      <c r="A176" s="3" t="s">
        <v>25</v>
      </c>
      <c r="B176" s="4" t="s">
        <v>14</v>
      </c>
      <c r="C176" s="5">
        <v>245401</v>
      </c>
      <c r="D176" s="3" t="s">
        <v>31</v>
      </c>
      <c r="E176" s="3" t="s">
        <v>34</v>
      </c>
      <c r="F176" s="5">
        <v>2020</v>
      </c>
    </row>
    <row r="177" spans="1:6" ht="13" x14ac:dyDescent="0.15">
      <c r="A177" s="3" t="s">
        <v>25</v>
      </c>
      <c r="B177" s="4" t="s">
        <v>16</v>
      </c>
      <c r="C177" s="5">
        <v>236187</v>
      </c>
      <c r="D177" s="3" t="s">
        <v>31</v>
      </c>
      <c r="E177" s="3" t="s">
        <v>34</v>
      </c>
      <c r="F177" s="5">
        <v>2020</v>
      </c>
    </row>
    <row r="178" spans="1:6" ht="13" x14ac:dyDescent="0.15">
      <c r="A178" s="3" t="s">
        <v>20</v>
      </c>
      <c r="B178" s="4" t="s">
        <v>8</v>
      </c>
      <c r="C178" s="5">
        <v>4485</v>
      </c>
      <c r="D178" s="3" t="s">
        <v>32</v>
      </c>
      <c r="E178" s="3" t="s">
        <v>34</v>
      </c>
      <c r="F178" s="5">
        <v>2020</v>
      </c>
    </row>
    <row r="179" spans="1:6" ht="13" x14ac:dyDescent="0.15">
      <c r="A179" s="3" t="s">
        <v>20</v>
      </c>
      <c r="B179" s="4" t="s">
        <v>12</v>
      </c>
      <c r="C179" s="5">
        <v>16991</v>
      </c>
      <c r="D179" s="3" t="s">
        <v>32</v>
      </c>
      <c r="E179" s="3" t="s">
        <v>34</v>
      </c>
      <c r="F179" s="5">
        <v>2020</v>
      </c>
    </row>
    <row r="180" spans="1:6" ht="13" x14ac:dyDescent="0.15">
      <c r="A180" s="3" t="s">
        <v>20</v>
      </c>
      <c r="B180" s="4" t="s">
        <v>14</v>
      </c>
      <c r="C180" s="5">
        <v>255390</v>
      </c>
      <c r="D180" s="3" t="s">
        <v>32</v>
      </c>
      <c r="E180" s="3" t="s">
        <v>34</v>
      </c>
      <c r="F180" s="5">
        <v>2020</v>
      </c>
    </row>
    <row r="181" spans="1:6" ht="13" x14ac:dyDescent="0.15">
      <c r="A181" s="3" t="s">
        <v>20</v>
      </c>
      <c r="B181" s="4" t="s">
        <v>16</v>
      </c>
      <c r="C181" s="5">
        <v>209316</v>
      </c>
      <c r="D181" s="3" t="s">
        <v>32</v>
      </c>
      <c r="E181" s="3" t="s">
        <v>34</v>
      </c>
      <c r="F181" s="5">
        <v>2020</v>
      </c>
    </row>
    <row r="182" spans="1:6" ht="13" x14ac:dyDescent="0.15">
      <c r="A182" s="3" t="s">
        <v>26</v>
      </c>
      <c r="B182" s="4" t="s">
        <v>8</v>
      </c>
      <c r="C182" s="5">
        <v>1633</v>
      </c>
      <c r="D182" s="3" t="s">
        <v>32</v>
      </c>
      <c r="E182" s="3" t="s">
        <v>34</v>
      </c>
      <c r="F182" s="5">
        <v>2020</v>
      </c>
    </row>
    <row r="183" spans="1:6" ht="13" x14ac:dyDescent="0.15">
      <c r="A183" s="3" t="s">
        <v>26</v>
      </c>
      <c r="B183" s="4" t="s">
        <v>12</v>
      </c>
      <c r="C183" s="5">
        <v>8420</v>
      </c>
      <c r="D183" s="3" t="s">
        <v>32</v>
      </c>
      <c r="E183" s="3" t="s">
        <v>34</v>
      </c>
      <c r="F183" s="5">
        <v>2020</v>
      </c>
    </row>
    <row r="184" spans="1:6" ht="13" x14ac:dyDescent="0.15">
      <c r="A184" s="3" t="s">
        <v>26</v>
      </c>
      <c r="B184" s="4" t="s">
        <v>14</v>
      </c>
      <c r="C184" s="5">
        <v>213240</v>
      </c>
      <c r="D184" s="3" t="s">
        <v>32</v>
      </c>
      <c r="E184" s="3" t="s">
        <v>34</v>
      </c>
      <c r="F184" s="5">
        <v>2020</v>
      </c>
    </row>
    <row r="185" spans="1:6" ht="13" x14ac:dyDescent="0.15">
      <c r="A185" s="3" t="s">
        <v>26</v>
      </c>
      <c r="B185" s="4" t="s">
        <v>16</v>
      </c>
      <c r="C185" s="5">
        <v>213822</v>
      </c>
      <c r="D185" s="3" t="s">
        <v>32</v>
      </c>
      <c r="E185" s="3" t="s">
        <v>34</v>
      </c>
      <c r="F185" s="5">
        <v>2020</v>
      </c>
    </row>
    <row r="186" spans="1:6" ht="13" x14ac:dyDescent="0.15">
      <c r="A186" s="3" t="s">
        <v>27</v>
      </c>
      <c r="B186" s="4" t="s">
        <v>8</v>
      </c>
      <c r="C186" s="5">
        <v>1820</v>
      </c>
      <c r="D186" s="3" t="s">
        <v>32</v>
      </c>
      <c r="E186" s="3" t="s">
        <v>34</v>
      </c>
      <c r="F186" s="5">
        <v>2020</v>
      </c>
    </row>
    <row r="187" spans="1:6" ht="13" x14ac:dyDescent="0.15">
      <c r="A187" s="3" t="s">
        <v>27</v>
      </c>
      <c r="B187" s="4" t="s">
        <v>12</v>
      </c>
      <c r="C187" s="5">
        <v>9741</v>
      </c>
      <c r="D187" s="3" t="s">
        <v>32</v>
      </c>
      <c r="E187" s="3" t="s">
        <v>34</v>
      </c>
      <c r="F187" s="5">
        <v>2020</v>
      </c>
    </row>
    <row r="188" spans="1:6" ht="13" x14ac:dyDescent="0.15">
      <c r="A188" s="3" t="s">
        <v>27</v>
      </c>
      <c r="B188" s="4" t="s">
        <v>14</v>
      </c>
      <c r="C188" s="5">
        <v>208606</v>
      </c>
      <c r="D188" s="3" t="s">
        <v>32</v>
      </c>
      <c r="E188" s="3" t="s">
        <v>34</v>
      </c>
      <c r="F188" s="5">
        <v>2020</v>
      </c>
    </row>
    <row r="189" spans="1:6" ht="13" x14ac:dyDescent="0.15">
      <c r="A189" s="3" t="s">
        <v>27</v>
      </c>
      <c r="B189" s="4" t="s">
        <v>16</v>
      </c>
      <c r="C189" s="5">
        <v>179741</v>
      </c>
      <c r="D189" s="3" t="s">
        <v>32</v>
      </c>
      <c r="E189" s="3" t="s">
        <v>34</v>
      </c>
      <c r="F189" s="5">
        <v>2020</v>
      </c>
    </row>
    <row r="190" spans="1:6" ht="13" x14ac:dyDescent="0.15">
      <c r="A190" s="3" t="s">
        <v>28</v>
      </c>
      <c r="B190" s="4" t="s">
        <v>8</v>
      </c>
      <c r="C190" s="5">
        <v>989</v>
      </c>
      <c r="D190" s="3" t="s">
        <v>32</v>
      </c>
      <c r="E190" s="3" t="s">
        <v>34</v>
      </c>
      <c r="F190" s="5">
        <v>2020</v>
      </c>
    </row>
    <row r="191" spans="1:6" ht="13" x14ac:dyDescent="0.15">
      <c r="A191" s="3" t="s">
        <v>28</v>
      </c>
      <c r="B191" s="4" t="s">
        <v>12</v>
      </c>
      <c r="C191" s="5">
        <v>5238</v>
      </c>
      <c r="D191" s="3" t="s">
        <v>32</v>
      </c>
      <c r="E191" s="3" t="s">
        <v>34</v>
      </c>
      <c r="F191" s="5">
        <v>2020</v>
      </c>
    </row>
    <row r="192" spans="1:6" ht="13" x14ac:dyDescent="0.15">
      <c r="A192" s="3" t="s">
        <v>28</v>
      </c>
      <c r="B192" s="4" t="s">
        <v>14</v>
      </c>
      <c r="C192" s="5">
        <v>192692</v>
      </c>
      <c r="D192" s="3" t="s">
        <v>32</v>
      </c>
      <c r="E192" s="3" t="s">
        <v>34</v>
      </c>
      <c r="F192" s="5">
        <v>2020</v>
      </c>
    </row>
    <row r="193" spans="1:6" ht="13" x14ac:dyDescent="0.15">
      <c r="A193" s="3" t="s">
        <v>28</v>
      </c>
      <c r="B193" s="4" t="s">
        <v>16</v>
      </c>
      <c r="C193" s="5">
        <v>196249</v>
      </c>
      <c r="D193" s="3" t="s">
        <v>32</v>
      </c>
      <c r="E193" s="3" t="s">
        <v>34</v>
      </c>
      <c r="F193" s="5">
        <v>2020</v>
      </c>
    </row>
    <row r="194" spans="1:6" ht="13" x14ac:dyDescent="0.15">
      <c r="A194" s="3" t="s">
        <v>11</v>
      </c>
      <c r="B194" s="4" t="s">
        <v>8</v>
      </c>
      <c r="C194" s="5">
        <v>498</v>
      </c>
      <c r="D194" s="3" t="s">
        <v>32</v>
      </c>
      <c r="E194" s="3" t="s">
        <v>34</v>
      </c>
      <c r="F194" s="5">
        <v>2020</v>
      </c>
    </row>
    <row r="195" spans="1:6" ht="13" x14ac:dyDescent="0.15">
      <c r="A195" s="3" t="s">
        <v>11</v>
      </c>
      <c r="B195" s="4" t="s">
        <v>12</v>
      </c>
      <c r="C195" s="5">
        <v>1966</v>
      </c>
      <c r="D195" s="3" t="s">
        <v>32</v>
      </c>
      <c r="E195" s="3" t="s">
        <v>34</v>
      </c>
      <c r="F195" s="5">
        <v>2020</v>
      </c>
    </row>
    <row r="196" spans="1:6" ht="13" x14ac:dyDescent="0.15">
      <c r="A196" s="3" t="s">
        <v>11</v>
      </c>
      <c r="B196" s="4" t="s">
        <v>14</v>
      </c>
      <c r="C196" s="5">
        <v>296621</v>
      </c>
      <c r="D196" s="3" t="s">
        <v>32</v>
      </c>
      <c r="E196" s="3" t="s">
        <v>34</v>
      </c>
      <c r="F196" s="5">
        <v>2020</v>
      </c>
    </row>
    <row r="197" spans="1:6" ht="13" x14ac:dyDescent="0.15">
      <c r="A197" s="3" t="s">
        <v>11</v>
      </c>
      <c r="B197" s="4" t="s">
        <v>16</v>
      </c>
      <c r="C197" s="5">
        <v>356016</v>
      </c>
      <c r="D197" s="3" t="s">
        <v>32</v>
      </c>
      <c r="E197" s="3" t="s">
        <v>34</v>
      </c>
      <c r="F197" s="5">
        <v>2020</v>
      </c>
    </row>
    <row r="198" spans="1:6" ht="13" x14ac:dyDescent="0.15">
      <c r="A198" s="3" t="s">
        <v>7</v>
      </c>
      <c r="B198" s="4" t="s">
        <v>8</v>
      </c>
      <c r="C198" s="5">
        <v>2178</v>
      </c>
      <c r="D198" s="3" t="s">
        <v>9</v>
      </c>
      <c r="E198" s="3" t="s">
        <v>35</v>
      </c>
      <c r="F198" s="5">
        <v>2020</v>
      </c>
    </row>
    <row r="199" spans="1:6" ht="13" x14ac:dyDescent="0.15">
      <c r="A199" s="3" t="s">
        <v>7</v>
      </c>
      <c r="B199" s="4" t="s">
        <v>12</v>
      </c>
      <c r="C199" s="5">
        <v>8282</v>
      </c>
      <c r="D199" s="3" t="s">
        <v>9</v>
      </c>
      <c r="E199" s="3" t="s">
        <v>35</v>
      </c>
      <c r="F199" s="5">
        <v>2020</v>
      </c>
    </row>
    <row r="200" spans="1:6" ht="13" x14ac:dyDescent="0.15">
      <c r="A200" s="3" t="s">
        <v>7</v>
      </c>
      <c r="B200" s="4" t="s">
        <v>14</v>
      </c>
      <c r="C200" s="5">
        <v>199235</v>
      </c>
      <c r="D200" s="3" t="s">
        <v>9</v>
      </c>
      <c r="E200" s="3" t="s">
        <v>35</v>
      </c>
      <c r="F200" s="5">
        <v>2020</v>
      </c>
    </row>
    <row r="201" spans="1:6" ht="13" x14ac:dyDescent="0.15">
      <c r="A201" s="3" t="s">
        <v>7</v>
      </c>
      <c r="B201" s="4" t="s">
        <v>16</v>
      </c>
      <c r="C201" s="5">
        <v>173033</v>
      </c>
      <c r="D201" s="3" t="s">
        <v>9</v>
      </c>
      <c r="E201" s="3" t="s">
        <v>35</v>
      </c>
      <c r="F201" s="5">
        <v>2020</v>
      </c>
    </row>
    <row r="202" spans="1:6" ht="13" x14ac:dyDescent="0.15">
      <c r="A202" s="3" t="s">
        <v>13</v>
      </c>
      <c r="B202" s="4" t="s">
        <v>8</v>
      </c>
      <c r="C202" s="5">
        <v>1273</v>
      </c>
      <c r="D202" s="3" t="s">
        <v>9</v>
      </c>
      <c r="E202" s="3" t="s">
        <v>35</v>
      </c>
      <c r="F202" s="5">
        <v>2020</v>
      </c>
    </row>
    <row r="203" spans="1:6" ht="13" x14ac:dyDescent="0.15">
      <c r="A203" s="3" t="s">
        <v>13</v>
      </c>
      <c r="B203" s="4" t="s">
        <v>12</v>
      </c>
      <c r="C203" s="5">
        <v>4511</v>
      </c>
      <c r="D203" s="3" t="s">
        <v>9</v>
      </c>
      <c r="E203" s="3" t="s">
        <v>35</v>
      </c>
      <c r="F203" s="5">
        <v>2020</v>
      </c>
    </row>
    <row r="204" spans="1:6" ht="13" x14ac:dyDescent="0.15">
      <c r="A204" s="3" t="s">
        <v>13</v>
      </c>
      <c r="B204" s="4" t="s">
        <v>14</v>
      </c>
      <c r="C204" s="5">
        <v>47444</v>
      </c>
      <c r="D204" s="3" t="s">
        <v>9</v>
      </c>
      <c r="E204" s="3" t="s">
        <v>35</v>
      </c>
      <c r="F204" s="5">
        <v>2020</v>
      </c>
    </row>
    <row r="205" spans="1:6" ht="13" x14ac:dyDescent="0.15">
      <c r="A205" s="3" t="s">
        <v>13</v>
      </c>
      <c r="B205" s="4" t="s">
        <v>16</v>
      </c>
      <c r="C205" s="5">
        <v>48590</v>
      </c>
      <c r="D205" s="3" t="s">
        <v>9</v>
      </c>
      <c r="E205" s="3" t="s">
        <v>35</v>
      </c>
      <c r="F205" s="5">
        <v>2020</v>
      </c>
    </row>
    <row r="206" spans="1:6" ht="13" x14ac:dyDescent="0.15">
      <c r="A206" s="3" t="s">
        <v>15</v>
      </c>
      <c r="B206" s="4" t="s">
        <v>8</v>
      </c>
      <c r="C206" s="5">
        <v>5050</v>
      </c>
      <c r="D206" s="3" t="s">
        <v>9</v>
      </c>
      <c r="E206" s="3" t="s">
        <v>35</v>
      </c>
      <c r="F206" s="5">
        <v>2020</v>
      </c>
    </row>
    <row r="207" spans="1:6" ht="13" x14ac:dyDescent="0.15">
      <c r="A207" s="3" t="s">
        <v>15</v>
      </c>
      <c r="B207" s="4" t="s">
        <v>12</v>
      </c>
      <c r="C207" s="5">
        <v>16656</v>
      </c>
      <c r="D207" s="3" t="s">
        <v>9</v>
      </c>
      <c r="E207" s="3" t="s">
        <v>35</v>
      </c>
      <c r="F207" s="5">
        <v>2020</v>
      </c>
    </row>
    <row r="208" spans="1:6" ht="13" x14ac:dyDescent="0.15">
      <c r="A208" s="3" t="s">
        <v>15</v>
      </c>
      <c r="B208" s="4" t="s">
        <v>14</v>
      </c>
      <c r="C208" s="5">
        <v>196413</v>
      </c>
      <c r="D208" s="3" t="s">
        <v>9</v>
      </c>
      <c r="E208" s="3" t="s">
        <v>35</v>
      </c>
      <c r="F208" s="5">
        <v>2020</v>
      </c>
    </row>
    <row r="209" spans="1:6" ht="13" x14ac:dyDescent="0.15">
      <c r="A209" s="3" t="s">
        <v>15</v>
      </c>
      <c r="B209" s="4" t="s">
        <v>16</v>
      </c>
      <c r="C209" s="5">
        <v>156863</v>
      </c>
      <c r="D209" s="3" t="s">
        <v>9</v>
      </c>
      <c r="E209" s="3" t="s">
        <v>35</v>
      </c>
      <c r="F209" s="5">
        <v>2020</v>
      </c>
    </row>
    <row r="210" spans="1:6" ht="13" x14ac:dyDescent="0.15">
      <c r="A210" s="3" t="s">
        <v>17</v>
      </c>
      <c r="B210" s="4" t="s">
        <v>8</v>
      </c>
      <c r="C210" s="5">
        <v>1924</v>
      </c>
      <c r="D210" s="3" t="s">
        <v>9</v>
      </c>
      <c r="E210" s="3" t="s">
        <v>35</v>
      </c>
      <c r="F210" s="5">
        <v>2020</v>
      </c>
    </row>
    <row r="211" spans="1:6" ht="13" x14ac:dyDescent="0.15">
      <c r="A211" s="3" t="s">
        <v>17</v>
      </c>
      <c r="B211" s="4" t="s">
        <v>12</v>
      </c>
      <c r="C211" s="5">
        <v>6962</v>
      </c>
      <c r="D211" s="3" t="s">
        <v>9</v>
      </c>
      <c r="E211" s="3" t="s">
        <v>35</v>
      </c>
      <c r="F211" s="5">
        <v>2020</v>
      </c>
    </row>
    <row r="212" spans="1:6" ht="13" x14ac:dyDescent="0.15">
      <c r="A212" s="3" t="s">
        <v>17</v>
      </c>
      <c r="B212" s="4" t="s">
        <v>14</v>
      </c>
      <c r="C212" s="5">
        <v>98456</v>
      </c>
      <c r="D212" s="3" t="s">
        <v>9</v>
      </c>
      <c r="E212" s="3" t="s">
        <v>35</v>
      </c>
      <c r="F212" s="5">
        <v>2020</v>
      </c>
    </row>
    <row r="213" spans="1:6" ht="13" x14ac:dyDescent="0.15">
      <c r="A213" s="3" t="s">
        <v>17</v>
      </c>
      <c r="B213" s="4" t="s">
        <v>16</v>
      </c>
      <c r="C213" s="5">
        <v>81893</v>
      </c>
      <c r="D213" s="3" t="s">
        <v>9</v>
      </c>
      <c r="E213" s="3" t="s">
        <v>35</v>
      </c>
      <c r="F213" s="5">
        <v>2020</v>
      </c>
    </row>
    <row r="214" spans="1:6" ht="13" x14ac:dyDescent="0.15">
      <c r="A214" s="3" t="s">
        <v>18</v>
      </c>
      <c r="B214" s="4" t="s">
        <v>8</v>
      </c>
      <c r="C214" s="5">
        <v>3100</v>
      </c>
      <c r="D214" s="3" t="s">
        <v>9</v>
      </c>
      <c r="E214" s="3" t="s">
        <v>35</v>
      </c>
      <c r="F214" s="5">
        <v>2020</v>
      </c>
    </row>
    <row r="215" spans="1:6" ht="13" x14ac:dyDescent="0.15">
      <c r="A215" s="3" t="s">
        <v>18</v>
      </c>
      <c r="B215" s="4" t="s">
        <v>12</v>
      </c>
      <c r="C215" s="5">
        <v>11467</v>
      </c>
      <c r="D215" s="3" t="s">
        <v>9</v>
      </c>
      <c r="E215" s="3" t="s">
        <v>35</v>
      </c>
      <c r="F215" s="5">
        <v>2020</v>
      </c>
    </row>
    <row r="216" spans="1:6" ht="13" x14ac:dyDescent="0.15">
      <c r="A216" s="3" t="s">
        <v>18</v>
      </c>
      <c r="B216" s="4" t="s">
        <v>14</v>
      </c>
      <c r="C216" s="5">
        <v>274298</v>
      </c>
      <c r="D216" s="3" t="s">
        <v>9</v>
      </c>
      <c r="E216" s="3" t="s">
        <v>35</v>
      </c>
      <c r="F216" s="5">
        <v>2020</v>
      </c>
    </row>
    <row r="217" spans="1:6" ht="13" x14ac:dyDescent="0.15">
      <c r="A217" s="3" t="s">
        <v>18</v>
      </c>
      <c r="B217" s="4" t="s">
        <v>16</v>
      </c>
      <c r="C217" s="5">
        <v>230708</v>
      </c>
      <c r="D217" s="3" t="s">
        <v>9</v>
      </c>
      <c r="E217" s="3" t="s">
        <v>35</v>
      </c>
      <c r="F217" s="5">
        <v>2020</v>
      </c>
    </row>
    <row r="218" spans="1:6" ht="13" x14ac:dyDescent="0.15">
      <c r="A218" s="3" t="s">
        <v>19</v>
      </c>
      <c r="B218" s="4" t="s">
        <v>8</v>
      </c>
      <c r="C218" s="5">
        <v>4698</v>
      </c>
      <c r="D218" s="3" t="s">
        <v>9</v>
      </c>
      <c r="E218" s="3" t="s">
        <v>35</v>
      </c>
      <c r="F218" s="5">
        <v>2020</v>
      </c>
    </row>
    <row r="219" spans="1:6" ht="13" x14ac:dyDescent="0.15">
      <c r="A219" s="3" t="s">
        <v>19</v>
      </c>
      <c r="B219" s="4" t="s">
        <v>12</v>
      </c>
      <c r="C219" s="5">
        <v>19014</v>
      </c>
      <c r="D219" s="3" t="s">
        <v>9</v>
      </c>
      <c r="E219" s="3" t="s">
        <v>35</v>
      </c>
      <c r="F219" s="5">
        <v>2020</v>
      </c>
    </row>
    <row r="220" spans="1:6" ht="13" x14ac:dyDescent="0.15">
      <c r="A220" s="3" t="s">
        <v>19</v>
      </c>
      <c r="B220" s="4" t="s">
        <v>14</v>
      </c>
      <c r="C220" s="5">
        <v>305055</v>
      </c>
      <c r="D220" s="3" t="s">
        <v>9</v>
      </c>
      <c r="E220" s="3" t="s">
        <v>35</v>
      </c>
      <c r="F220" s="5">
        <v>2020</v>
      </c>
    </row>
    <row r="221" spans="1:6" ht="13" x14ac:dyDescent="0.15">
      <c r="A221" s="3" t="s">
        <v>19</v>
      </c>
      <c r="B221" s="4" t="s">
        <v>16</v>
      </c>
      <c r="C221" s="5">
        <v>260970</v>
      </c>
      <c r="D221" s="3" t="s">
        <v>9</v>
      </c>
      <c r="E221" s="3" t="s">
        <v>35</v>
      </c>
      <c r="F221" s="5">
        <v>2020</v>
      </c>
    </row>
    <row r="222" spans="1:6" ht="13" x14ac:dyDescent="0.15">
      <c r="A222" s="3" t="s">
        <v>21</v>
      </c>
      <c r="B222" s="4" t="s">
        <v>8</v>
      </c>
      <c r="C222" s="5">
        <v>4491</v>
      </c>
      <c r="D222" s="3" t="s">
        <v>9</v>
      </c>
      <c r="E222" s="3" t="s">
        <v>35</v>
      </c>
      <c r="F222" s="5">
        <v>2020</v>
      </c>
    </row>
    <row r="223" spans="1:6" ht="13" x14ac:dyDescent="0.15">
      <c r="A223" s="3" t="s">
        <v>21</v>
      </c>
      <c r="B223" s="4" t="s">
        <v>12</v>
      </c>
      <c r="C223" s="5">
        <v>17506</v>
      </c>
      <c r="D223" s="3" t="s">
        <v>9</v>
      </c>
      <c r="E223" s="3" t="s">
        <v>35</v>
      </c>
      <c r="F223" s="5">
        <v>2020</v>
      </c>
    </row>
    <row r="224" spans="1:6" ht="13" x14ac:dyDescent="0.15">
      <c r="A224" s="3" t="s">
        <v>21</v>
      </c>
      <c r="B224" s="4" t="s">
        <v>14</v>
      </c>
      <c r="C224" s="5">
        <v>168731</v>
      </c>
      <c r="D224" s="3" t="s">
        <v>9</v>
      </c>
      <c r="E224" s="3" t="s">
        <v>35</v>
      </c>
      <c r="F224" s="5">
        <v>2020</v>
      </c>
    </row>
    <row r="225" spans="1:6" ht="13" x14ac:dyDescent="0.15">
      <c r="A225" s="3" t="s">
        <v>21</v>
      </c>
      <c r="B225" s="4" t="s">
        <v>16</v>
      </c>
      <c r="C225" s="5">
        <v>150706</v>
      </c>
      <c r="D225" s="3" t="s">
        <v>9</v>
      </c>
      <c r="E225" s="3" t="s">
        <v>35</v>
      </c>
      <c r="F225" s="5">
        <v>2020</v>
      </c>
    </row>
    <row r="226" spans="1:6" ht="13" x14ac:dyDescent="0.15">
      <c r="A226" s="3" t="s">
        <v>22</v>
      </c>
      <c r="B226" s="4" t="s">
        <v>8</v>
      </c>
      <c r="C226" s="5">
        <v>5820</v>
      </c>
      <c r="D226" s="3" t="s">
        <v>9</v>
      </c>
      <c r="E226" s="3" t="s">
        <v>35</v>
      </c>
      <c r="F226" s="5">
        <v>2020</v>
      </c>
    </row>
    <row r="227" spans="1:6" ht="13" x14ac:dyDescent="0.15">
      <c r="A227" s="3" t="s">
        <v>22</v>
      </c>
      <c r="B227" s="4" t="s">
        <v>12</v>
      </c>
      <c r="C227" s="5">
        <v>18675</v>
      </c>
      <c r="D227" s="3" t="s">
        <v>9</v>
      </c>
      <c r="E227" s="3" t="s">
        <v>35</v>
      </c>
      <c r="F227" s="5">
        <v>2020</v>
      </c>
    </row>
    <row r="228" spans="1:6" ht="13" x14ac:dyDescent="0.15">
      <c r="A228" s="3" t="s">
        <v>22</v>
      </c>
      <c r="B228" s="4" t="s">
        <v>14</v>
      </c>
      <c r="C228" s="5">
        <v>352185</v>
      </c>
      <c r="D228" s="3" t="s">
        <v>9</v>
      </c>
      <c r="E228" s="3" t="s">
        <v>35</v>
      </c>
      <c r="F228" s="5">
        <v>2020</v>
      </c>
    </row>
    <row r="229" spans="1:6" ht="13" x14ac:dyDescent="0.15">
      <c r="A229" s="3" t="s">
        <v>22</v>
      </c>
      <c r="B229" s="4" t="s">
        <v>16</v>
      </c>
      <c r="C229" s="5">
        <v>334978</v>
      </c>
      <c r="D229" s="3" t="s">
        <v>9</v>
      </c>
      <c r="E229" s="3" t="s">
        <v>35</v>
      </c>
      <c r="F229" s="5">
        <v>2020</v>
      </c>
    </row>
    <row r="230" spans="1:6" ht="13" x14ac:dyDescent="0.15">
      <c r="A230" s="3" t="s">
        <v>23</v>
      </c>
      <c r="B230" s="4" t="s">
        <v>8</v>
      </c>
      <c r="C230" s="5">
        <v>6189</v>
      </c>
      <c r="D230" s="3" t="s">
        <v>31</v>
      </c>
      <c r="E230" s="3" t="s">
        <v>35</v>
      </c>
      <c r="F230" s="5">
        <v>2020</v>
      </c>
    </row>
    <row r="231" spans="1:6" ht="13" x14ac:dyDescent="0.15">
      <c r="A231" s="3" t="s">
        <v>23</v>
      </c>
      <c r="B231" s="4" t="s">
        <v>12</v>
      </c>
      <c r="C231" s="5">
        <v>20863</v>
      </c>
      <c r="D231" s="3" t="s">
        <v>31</v>
      </c>
      <c r="E231" s="3" t="s">
        <v>35</v>
      </c>
      <c r="F231" s="5">
        <v>2020</v>
      </c>
    </row>
    <row r="232" spans="1:6" ht="13" x14ac:dyDescent="0.15">
      <c r="A232" s="3" t="s">
        <v>23</v>
      </c>
      <c r="B232" s="4" t="s">
        <v>14</v>
      </c>
      <c r="C232" s="5">
        <v>305428</v>
      </c>
      <c r="D232" s="3" t="s">
        <v>31</v>
      </c>
      <c r="E232" s="3" t="s">
        <v>35</v>
      </c>
      <c r="F232" s="5">
        <v>2020</v>
      </c>
    </row>
    <row r="233" spans="1:6" ht="13" x14ac:dyDescent="0.15">
      <c r="A233" s="3" t="s">
        <v>23</v>
      </c>
      <c r="B233" s="4" t="s">
        <v>16</v>
      </c>
      <c r="C233" s="5">
        <v>275423</v>
      </c>
      <c r="D233" s="3" t="s">
        <v>31</v>
      </c>
      <c r="E233" s="3" t="s">
        <v>35</v>
      </c>
      <c r="F233" s="5">
        <v>2020</v>
      </c>
    </row>
    <row r="234" spans="1:6" ht="13" x14ac:dyDescent="0.15">
      <c r="A234" s="3" t="s">
        <v>24</v>
      </c>
      <c r="B234" s="4" t="s">
        <v>8</v>
      </c>
      <c r="C234" s="5">
        <v>3168</v>
      </c>
      <c r="D234" s="3" t="s">
        <v>31</v>
      </c>
      <c r="E234" s="3" t="s">
        <v>35</v>
      </c>
      <c r="F234" s="5">
        <v>2020</v>
      </c>
    </row>
    <row r="235" spans="1:6" ht="13" x14ac:dyDescent="0.15">
      <c r="A235" s="3" t="s">
        <v>24</v>
      </c>
      <c r="B235" s="4" t="s">
        <v>12</v>
      </c>
      <c r="C235" s="5">
        <v>16069</v>
      </c>
      <c r="D235" s="3" t="s">
        <v>31</v>
      </c>
      <c r="E235" s="3" t="s">
        <v>35</v>
      </c>
      <c r="F235" s="5">
        <v>2020</v>
      </c>
    </row>
    <row r="236" spans="1:6" ht="13" x14ac:dyDescent="0.15">
      <c r="A236" s="3" t="s">
        <v>24</v>
      </c>
      <c r="B236" s="4" t="s">
        <v>14</v>
      </c>
      <c r="C236" s="5">
        <v>265691</v>
      </c>
      <c r="D236" s="3" t="s">
        <v>31</v>
      </c>
      <c r="E236" s="3" t="s">
        <v>35</v>
      </c>
      <c r="F236" s="5">
        <v>2020</v>
      </c>
    </row>
    <row r="237" spans="1:6" ht="13" x14ac:dyDescent="0.15">
      <c r="A237" s="3" t="s">
        <v>24</v>
      </c>
      <c r="B237" s="4" t="s">
        <v>16</v>
      </c>
      <c r="C237" s="5">
        <v>235284</v>
      </c>
      <c r="D237" s="3" t="s">
        <v>31</v>
      </c>
      <c r="E237" s="3" t="s">
        <v>35</v>
      </c>
      <c r="F237" s="5">
        <v>2020</v>
      </c>
    </row>
    <row r="238" spans="1:6" ht="13" x14ac:dyDescent="0.15">
      <c r="A238" s="3" t="s">
        <v>25</v>
      </c>
      <c r="B238" s="4" t="s">
        <v>8</v>
      </c>
      <c r="C238" s="5">
        <v>3147</v>
      </c>
      <c r="D238" s="3" t="s">
        <v>31</v>
      </c>
      <c r="E238" s="3" t="s">
        <v>35</v>
      </c>
      <c r="F238" s="5">
        <v>2020</v>
      </c>
    </row>
    <row r="239" spans="1:6" ht="13" x14ac:dyDescent="0.15">
      <c r="A239" s="3" t="s">
        <v>25</v>
      </c>
      <c r="B239" s="4" t="s">
        <v>12</v>
      </c>
      <c r="C239" s="5">
        <v>12802</v>
      </c>
      <c r="D239" s="3" t="s">
        <v>31</v>
      </c>
      <c r="E239" s="3" t="s">
        <v>35</v>
      </c>
      <c r="F239" s="5">
        <v>2020</v>
      </c>
    </row>
    <row r="240" spans="1:6" ht="13" x14ac:dyDescent="0.15">
      <c r="A240" s="3" t="s">
        <v>25</v>
      </c>
      <c r="B240" s="4" t="s">
        <v>14</v>
      </c>
      <c r="C240" s="5">
        <v>237842</v>
      </c>
      <c r="D240" s="3" t="s">
        <v>31</v>
      </c>
      <c r="E240" s="3" t="s">
        <v>35</v>
      </c>
      <c r="F240" s="5">
        <v>2020</v>
      </c>
    </row>
    <row r="241" spans="1:6" ht="13" x14ac:dyDescent="0.15">
      <c r="A241" s="3" t="s">
        <v>25</v>
      </c>
      <c r="B241" s="4" t="s">
        <v>16</v>
      </c>
      <c r="C241" s="5">
        <v>232639</v>
      </c>
      <c r="D241" s="3" t="s">
        <v>31</v>
      </c>
      <c r="E241" s="3" t="s">
        <v>35</v>
      </c>
      <c r="F241" s="5">
        <v>2020</v>
      </c>
    </row>
    <row r="242" spans="1:6" ht="13" x14ac:dyDescent="0.15">
      <c r="A242" s="3" t="s">
        <v>20</v>
      </c>
      <c r="B242" s="4" t="s">
        <v>8</v>
      </c>
      <c r="C242" s="5">
        <v>4418</v>
      </c>
      <c r="D242" s="3" t="s">
        <v>32</v>
      </c>
      <c r="E242" s="3" t="s">
        <v>35</v>
      </c>
      <c r="F242" s="5">
        <v>2020</v>
      </c>
    </row>
    <row r="243" spans="1:6" ht="13" x14ac:dyDescent="0.15">
      <c r="A243" s="3" t="s">
        <v>20</v>
      </c>
      <c r="B243" s="4" t="s">
        <v>12</v>
      </c>
      <c r="C243" s="5">
        <v>16575</v>
      </c>
      <c r="D243" s="3" t="s">
        <v>32</v>
      </c>
      <c r="E243" s="3" t="s">
        <v>35</v>
      </c>
      <c r="F243" s="5">
        <v>2020</v>
      </c>
    </row>
    <row r="244" spans="1:6" ht="13" x14ac:dyDescent="0.15">
      <c r="A244" s="3" t="s">
        <v>20</v>
      </c>
      <c r="B244" s="4" t="s">
        <v>14</v>
      </c>
      <c r="C244" s="5">
        <v>246135</v>
      </c>
      <c r="D244" s="3" t="s">
        <v>32</v>
      </c>
      <c r="E244" s="3" t="s">
        <v>35</v>
      </c>
      <c r="F244" s="5">
        <v>2020</v>
      </c>
    </row>
    <row r="245" spans="1:6" ht="13" x14ac:dyDescent="0.15">
      <c r="A245" s="3" t="s">
        <v>20</v>
      </c>
      <c r="B245" s="4" t="s">
        <v>16</v>
      </c>
      <c r="C245" s="5">
        <v>206343</v>
      </c>
      <c r="D245" s="3" t="s">
        <v>32</v>
      </c>
      <c r="E245" s="3" t="s">
        <v>35</v>
      </c>
      <c r="F245" s="5">
        <v>2020</v>
      </c>
    </row>
    <row r="246" spans="1:6" ht="13" x14ac:dyDescent="0.15">
      <c r="A246" s="3" t="s">
        <v>26</v>
      </c>
      <c r="B246" s="4" t="s">
        <v>8</v>
      </c>
      <c r="C246" s="5">
        <v>1721</v>
      </c>
      <c r="D246" s="3" t="s">
        <v>32</v>
      </c>
      <c r="E246" s="3" t="s">
        <v>35</v>
      </c>
      <c r="F246" s="5">
        <v>2020</v>
      </c>
    </row>
    <row r="247" spans="1:6" ht="13" x14ac:dyDescent="0.15">
      <c r="A247" s="3" t="s">
        <v>26</v>
      </c>
      <c r="B247" s="4" t="s">
        <v>12</v>
      </c>
      <c r="C247" s="5">
        <v>7251</v>
      </c>
      <c r="D247" s="3" t="s">
        <v>32</v>
      </c>
      <c r="E247" s="3" t="s">
        <v>35</v>
      </c>
      <c r="F247" s="5">
        <v>2020</v>
      </c>
    </row>
    <row r="248" spans="1:6" ht="13" x14ac:dyDescent="0.15">
      <c r="A248" s="3" t="s">
        <v>26</v>
      </c>
      <c r="B248" s="4" t="s">
        <v>14</v>
      </c>
      <c r="C248" s="5">
        <v>202127</v>
      </c>
      <c r="D248" s="3" t="s">
        <v>32</v>
      </c>
      <c r="E248" s="3" t="s">
        <v>35</v>
      </c>
      <c r="F248" s="5">
        <v>2020</v>
      </c>
    </row>
    <row r="249" spans="1:6" ht="13" x14ac:dyDescent="0.15">
      <c r="A249" s="3" t="s">
        <v>26</v>
      </c>
      <c r="B249" s="4" t="s">
        <v>16</v>
      </c>
      <c r="C249" s="5">
        <v>210854</v>
      </c>
      <c r="D249" s="3" t="s">
        <v>32</v>
      </c>
      <c r="E249" s="3" t="s">
        <v>35</v>
      </c>
      <c r="F249" s="5">
        <v>2020</v>
      </c>
    </row>
    <row r="250" spans="1:6" ht="13" x14ac:dyDescent="0.15">
      <c r="A250" s="3" t="s">
        <v>27</v>
      </c>
      <c r="B250" s="4" t="s">
        <v>8</v>
      </c>
      <c r="C250" s="5">
        <v>1747</v>
      </c>
      <c r="D250" s="3" t="s">
        <v>32</v>
      </c>
      <c r="E250" s="3" t="s">
        <v>35</v>
      </c>
      <c r="F250" s="5">
        <v>2020</v>
      </c>
    </row>
    <row r="251" spans="1:6" ht="13" x14ac:dyDescent="0.15">
      <c r="A251" s="3" t="s">
        <v>27</v>
      </c>
      <c r="B251" s="4" t="s">
        <v>12</v>
      </c>
      <c r="C251" s="5">
        <v>8843</v>
      </c>
      <c r="D251" s="3" t="s">
        <v>32</v>
      </c>
      <c r="E251" s="3" t="s">
        <v>35</v>
      </c>
      <c r="F251" s="5">
        <v>2020</v>
      </c>
    </row>
    <row r="252" spans="1:6" ht="13" x14ac:dyDescent="0.15">
      <c r="A252" s="3" t="s">
        <v>27</v>
      </c>
      <c r="B252" s="4" t="s">
        <v>14</v>
      </c>
      <c r="C252" s="5">
        <v>201006</v>
      </c>
      <c r="D252" s="3" t="s">
        <v>32</v>
      </c>
      <c r="E252" s="3" t="s">
        <v>35</v>
      </c>
      <c r="F252" s="5">
        <v>2020</v>
      </c>
    </row>
    <row r="253" spans="1:6" ht="13" x14ac:dyDescent="0.15">
      <c r="A253" s="3" t="s">
        <v>27</v>
      </c>
      <c r="B253" s="4" t="s">
        <v>16</v>
      </c>
      <c r="C253" s="5">
        <v>177787</v>
      </c>
      <c r="D253" s="3" t="s">
        <v>32</v>
      </c>
      <c r="E253" s="3" t="s">
        <v>35</v>
      </c>
      <c r="F253" s="5">
        <v>2020</v>
      </c>
    </row>
    <row r="254" spans="1:6" ht="13" x14ac:dyDescent="0.15">
      <c r="A254" s="3" t="s">
        <v>28</v>
      </c>
      <c r="B254" s="4" t="s">
        <v>8</v>
      </c>
      <c r="C254" s="5">
        <v>1101</v>
      </c>
      <c r="D254" s="3" t="s">
        <v>32</v>
      </c>
      <c r="E254" s="3" t="s">
        <v>35</v>
      </c>
      <c r="F254" s="5">
        <v>2020</v>
      </c>
    </row>
    <row r="255" spans="1:6" ht="13" x14ac:dyDescent="0.15">
      <c r="A255" s="3" t="s">
        <v>28</v>
      </c>
      <c r="B255" s="4" t="s">
        <v>12</v>
      </c>
      <c r="C255" s="5">
        <v>4730</v>
      </c>
      <c r="D255" s="3" t="s">
        <v>32</v>
      </c>
      <c r="E255" s="3" t="s">
        <v>35</v>
      </c>
      <c r="F255" s="5">
        <v>2020</v>
      </c>
    </row>
    <row r="256" spans="1:6" ht="13" x14ac:dyDescent="0.15">
      <c r="A256" s="3" t="s">
        <v>28</v>
      </c>
      <c r="B256" s="4" t="s">
        <v>14</v>
      </c>
      <c r="C256" s="5">
        <v>155255</v>
      </c>
      <c r="D256" s="3" t="s">
        <v>32</v>
      </c>
      <c r="E256" s="3" t="s">
        <v>35</v>
      </c>
      <c r="F256" s="5">
        <v>2020</v>
      </c>
    </row>
    <row r="257" spans="1:6" ht="13" x14ac:dyDescent="0.15">
      <c r="A257" s="3" t="s">
        <v>28</v>
      </c>
      <c r="B257" s="4" t="s">
        <v>16</v>
      </c>
      <c r="C257" s="5">
        <v>155629</v>
      </c>
      <c r="D257" s="3" t="s">
        <v>32</v>
      </c>
      <c r="E257" s="3" t="s">
        <v>35</v>
      </c>
      <c r="F257" s="5">
        <v>2020</v>
      </c>
    </row>
    <row r="258" spans="1:6" ht="13" x14ac:dyDescent="0.15">
      <c r="A258" s="3" t="s">
        <v>29</v>
      </c>
      <c r="B258" s="4" t="s">
        <v>8</v>
      </c>
      <c r="C258" s="5">
        <v>3378</v>
      </c>
      <c r="D258" s="3" t="s">
        <v>32</v>
      </c>
      <c r="E258" s="3" t="s">
        <v>35</v>
      </c>
      <c r="F258" s="5">
        <v>2020</v>
      </c>
    </row>
    <row r="259" spans="1:6" ht="13" x14ac:dyDescent="0.15">
      <c r="A259" s="3" t="s">
        <v>29</v>
      </c>
      <c r="B259" s="4" t="s">
        <v>12</v>
      </c>
      <c r="C259" s="5">
        <v>12597</v>
      </c>
      <c r="D259" s="3" t="s">
        <v>32</v>
      </c>
      <c r="E259" s="3" t="s">
        <v>35</v>
      </c>
      <c r="F259" s="5">
        <v>2020</v>
      </c>
    </row>
    <row r="260" spans="1:6" ht="13" x14ac:dyDescent="0.15">
      <c r="A260" s="3" t="s">
        <v>29</v>
      </c>
      <c r="B260" s="4" t="s">
        <v>14</v>
      </c>
      <c r="C260" s="5">
        <v>160217</v>
      </c>
      <c r="D260" s="3" t="s">
        <v>32</v>
      </c>
      <c r="E260" s="3" t="s">
        <v>35</v>
      </c>
      <c r="F260" s="5">
        <v>2020</v>
      </c>
    </row>
    <row r="261" spans="1:6" ht="13" x14ac:dyDescent="0.15">
      <c r="A261" s="3" t="s">
        <v>29</v>
      </c>
      <c r="B261" s="4" t="s">
        <v>16</v>
      </c>
      <c r="C261" s="5">
        <v>138828</v>
      </c>
      <c r="D261" s="3" t="s">
        <v>32</v>
      </c>
      <c r="E261" s="3" t="s">
        <v>35</v>
      </c>
      <c r="F261" s="5">
        <v>2020</v>
      </c>
    </row>
    <row r="262" spans="1:6" ht="13" x14ac:dyDescent="0.15">
      <c r="A262" s="3" t="s">
        <v>11</v>
      </c>
      <c r="B262" s="4" t="s">
        <v>8</v>
      </c>
      <c r="C262" s="5">
        <v>550</v>
      </c>
      <c r="D262" s="3" t="s">
        <v>32</v>
      </c>
      <c r="E262" s="3" t="s">
        <v>35</v>
      </c>
      <c r="F262" s="5">
        <v>2020</v>
      </c>
    </row>
    <row r="263" spans="1:6" ht="13" x14ac:dyDescent="0.15">
      <c r="A263" s="3" t="s">
        <v>11</v>
      </c>
      <c r="B263" s="4" t="s">
        <v>12</v>
      </c>
      <c r="C263" s="5">
        <v>2310</v>
      </c>
      <c r="D263" s="3" t="s">
        <v>32</v>
      </c>
      <c r="E263" s="3" t="s">
        <v>35</v>
      </c>
      <c r="F263" s="5">
        <v>2020</v>
      </c>
    </row>
    <row r="264" spans="1:6" ht="13" x14ac:dyDescent="0.15">
      <c r="A264" s="3" t="s">
        <v>11</v>
      </c>
      <c r="B264" s="4" t="s">
        <v>14</v>
      </c>
      <c r="C264" s="5">
        <v>310950</v>
      </c>
      <c r="D264" s="3" t="s">
        <v>32</v>
      </c>
      <c r="E264" s="3" t="s">
        <v>35</v>
      </c>
      <c r="F264" s="5">
        <v>2020</v>
      </c>
    </row>
    <row r="265" spans="1:6" ht="13" x14ac:dyDescent="0.15">
      <c r="A265" s="3" t="s">
        <v>11</v>
      </c>
      <c r="B265" s="4" t="s">
        <v>16</v>
      </c>
      <c r="C265" s="5">
        <v>390854</v>
      </c>
      <c r="D265" s="3" t="s">
        <v>32</v>
      </c>
      <c r="E265" s="3" t="s">
        <v>35</v>
      </c>
      <c r="F265" s="5">
        <v>2020</v>
      </c>
    </row>
  </sheetData>
  <autoFilter ref="A1:F265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C888-CD3B-F645-B4D4-52B485BA0755}">
  <dimension ref="A1:E23"/>
  <sheetViews>
    <sheetView topLeftCell="B1" zoomScale="125" zoomScaleNormal="110" workbookViewId="0">
      <selection activeCell="H2" sqref="H2"/>
    </sheetView>
  </sheetViews>
  <sheetFormatPr baseColWidth="10" defaultRowHeight="16" x14ac:dyDescent="0.2"/>
  <cols>
    <col min="1" max="1" width="19.33203125" style="21" bestFit="1" customWidth="1"/>
    <col min="2" max="2" width="12.83203125" style="21" bestFit="1" customWidth="1"/>
    <col min="3" max="3" width="43.83203125" style="21" bestFit="1" customWidth="1"/>
    <col min="4" max="4" width="24.1640625" style="21" bestFit="1" customWidth="1"/>
    <col min="5" max="5" width="15.83203125" style="21" bestFit="1" customWidth="1"/>
    <col min="6" max="16384" width="10.83203125" style="21"/>
  </cols>
  <sheetData>
    <row r="1" spans="1:5" x14ac:dyDescent="0.2">
      <c r="B1" s="69">
        <v>2020</v>
      </c>
      <c r="C1" s="69"/>
      <c r="D1" s="69"/>
    </row>
    <row r="2" spans="1:5" x14ac:dyDescent="0.2">
      <c r="A2" s="29" t="s">
        <v>123</v>
      </c>
      <c r="B2" s="23" t="s">
        <v>0</v>
      </c>
      <c r="C2" s="23" t="s">
        <v>70</v>
      </c>
      <c r="D2" s="23" t="s">
        <v>58</v>
      </c>
      <c r="E2" s="29"/>
    </row>
    <row r="3" spans="1:5" x14ac:dyDescent="0.2">
      <c r="A3" s="22">
        <v>16</v>
      </c>
      <c r="B3" s="21" t="s">
        <v>13</v>
      </c>
      <c r="C3" s="27">
        <v>107187</v>
      </c>
      <c r="D3" s="22">
        <v>780001</v>
      </c>
      <c r="E3" s="63"/>
    </row>
    <row r="4" spans="1:5" x14ac:dyDescent="0.2">
      <c r="A4" s="22">
        <v>3</v>
      </c>
      <c r="B4" s="21" t="s">
        <v>29</v>
      </c>
      <c r="C4" s="27">
        <v>322319.5</v>
      </c>
      <c r="D4" s="22">
        <v>780001</v>
      </c>
      <c r="E4" s="63"/>
    </row>
    <row r="5" spans="1:5" x14ac:dyDescent="0.2">
      <c r="A5" s="22">
        <v>1</v>
      </c>
      <c r="B5" s="21" t="s">
        <v>11</v>
      </c>
      <c r="C5" s="27">
        <v>694742</v>
      </c>
      <c r="D5" s="22">
        <v>870095</v>
      </c>
      <c r="E5" s="63"/>
    </row>
    <row r="6" spans="1:5" x14ac:dyDescent="0.2">
      <c r="A6" s="22">
        <v>2</v>
      </c>
      <c r="B6" s="21" t="s">
        <v>81</v>
      </c>
      <c r="C6" s="27">
        <v>351762.5</v>
      </c>
      <c r="D6" s="22">
        <v>882763</v>
      </c>
      <c r="E6" s="63"/>
    </row>
    <row r="7" spans="1:5" x14ac:dyDescent="0.2">
      <c r="A7" s="22">
        <v>13</v>
      </c>
      <c r="B7" s="21" t="s">
        <v>17</v>
      </c>
      <c r="C7" s="27">
        <v>191926.5</v>
      </c>
      <c r="D7" s="22">
        <v>913322</v>
      </c>
      <c r="E7" s="63"/>
    </row>
    <row r="8" spans="1:5" x14ac:dyDescent="0.2">
      <c r="A8" s="22">
        <v>5</v>
      </c>
      <c r="B8" s="21" t="s">
        <v>20</v>
      </c>
      <c r="C8" s="27">
        <v>491075.5</v>
      </c>
      <c r="D8" s="22">
        <v>1027901</v>
      </c>
      <c r="E8" s="63"/>
    </row>
    <row r="9" spans="1:5" x14ac:dyDescent="0.2">
      <c r="A9" s="22">
        <v>9</v>
      </c>
      <c r="B9" s="21" t="s">
        <v>28</v>
      </c>
      <c r="C9" s="27">
        <v>401800.5</v>
      </c>
      <c r="D9" s="22">
        <v>1256650</v>
      </c>
      <c r="E9" s="63"/>
    </row>
    <row r="10" spans="1:5" x14ac:dyDescent="0.2">
      <c r="A10" s="22">
        <v>4</v>
      </c>
      <c r="B10" s="21" t="s">
        <v>25</v>
      </c>
      <c r="C10" s="27">
        <v>504800</v>
      </c>
      <c r="D10" s="22">
        <v>1265851</v>
      </c>
      <c r="E10" s="63"/>
    </row>
    <row r="11" spans="1:5" x14ac:dyDescent="0.2">
      <c r="A11" s="22">
        <v>8</v>
      </c>
      <c r="B11" s="21" t="s">
        <v>15</v>
      </c>
      <c r="C11" s="27">
        <v>381794.5</v>
      </c>
      <c r="D11" s="22">
        <v>1284454</v>
      </c>
      <c r="E11" s="63"/>
    </row>
    <row r="12" spans="1:5" x14ac:dyDescent="0.2">
      <c r="A12" s="22">
        <v>11</v>
      </c>
      <c r="B12" s="21" t="s">
        <v>27</v>
      </c>
      <c r="C12" s="27">
        <v>404542.5</v>
      </c>
      <c r="D12" s="22">
        <v>1286075</v>
      </c>
      <c r="E12" s="63"/>
    </row>
    <row r="13" spans="1:5" x14ac:dyDescent="0.2">
      <c r="A13" s="22">
        <v>7</v>
      </c>
      <c r="B13" s="21" t="s">
        <v>26</v>
      </c>
      <c r="C13" s="27">
        <v>442566</v>
      </c>
      <c r="D13" s="22">
        <v>1290234</v>
      </c>
      <c r="E13" s="63"/>
    </row>
    <row r="14" spans="1:5" x14ac:dyDescent="0.2">
      <c r="A14" s="22">
        <v>14</v>
      </c>
      <c r="B14" s="21" t="s">
        <v>22</v>
      </c>
      <c r="C14" s="27">
        <v>726721</v>
      </c>
      <c r="D14" s="22">
        <v>1665253</v>
      </c>
      <c r="E14" s="63"/>
    </row>
    <row r="15" spans="1:5" x14ac:dyDescent="0.2">
      <c r="A15" s="22">
        <v>10</v>
      </c>
      <c r="B15" s="21" t="s">
        <v>24</v>
      </c>
      <c r="C15" s="27">
        <v>540618</v>
      </c>
      <c r="D15" s="22">
        <v>2007141</v>
      </c>
      <c r="E15" s="63"/>
    </row>
    <row r="16" spans="1:5" x14ac:dyDescent="0.2">
      <c r="A16" s="22">
        <v>17</v>
      </c>
      <c r="B16" s="21" t="s">
        <v>23</v>
      </c>
      <c r="C16" s="27">
        <v>624815</v>
      </c>
      <c r="D16" s="22">
        <v>2043920</v>
      </c>
      <c r="E16" s="63"/>
    </row>
    <row r="17" spans="1:5" x14ac:dyDescent="0.2">
      <c r="A17" s="22">
        <v>6</v>
      </c>
      <c r="B17" s="21" t="s">
        <v>7</v>
      </c>
      <c r="C17" s="27">
        <v>398900</v>
      </c>
      <c r="D17" s="22">
        <v>2660593</v>
      </c>
      <c r="E17" s="63"/>
    </row>
    <row r="18" spans="1:5" x14ac:dyDescent="0.2">
      <c r="A18" s="22">
        <v>12</v>
      </c>
      <c r="B18" s="21" t="s">
        <v>18</v>
      </c>
      <c r="C18" s="27">
        <v>532256</v>
      </c>
      <c r="D18" s="22">
        <v>2826829</v>
      </c>
      <c r="E18" s="63"/>
    </row>
    <row r="19" spans="1:5" x14ac:dyDescent="0.2">
      <c r="A19" s="22">
        <v>15</v>
      </c>
      <c r="B19" s="21" t="s">
        <v>19</v>
      </c>
      <c r="C19" s="27">
        <v>606348.5</v>
      </c>
      <c r="D19" s="22">
        <v>3652990</v>
      </c>
      <c r="E19" s="63"/>
    </row>
    <row r="20" spans="1:5" x14ac:dyDescent="0.2">
      <c r="B20" s="29"/>
      <c r="C20" s="30"/>
      <c r="D20" s="30"/>
    </row>
    <row r="21" spans="1:5" x14ac:dyDescent="0.2">
      <c r="B21" s="23"/>
      <c r="C21" s="30"/>
      <c r="D21" s="30"/>
    </row>
    <row r="22" spans="1:5" x14ac:dyDescent="0.2">
      <c r="B22" s="23"/>
      <c r="C22" s="30"/>
      <c r="D22" s="30"/>
    </row>
    <row r="23" spans="1:5" x14ac:dyDescent="0.2">
      <c r="B23" s="23"/>
      <c r="C23" s="38"/>
      <c r="D23" s="22"/>
    </row>
  </sheetData>
  <autoFilter ref="B2:D20" xr:uid="{C0DB13AA-648C-2243-A093-5955FE56E0AB}">
    <sortState xmlns:xlrd2="http://schemas.microsoft.com/office/spreadsheetml/2017/richdata2" ref="B3:D20">
      <sortCondition ref="D2:D20"/>
    </sortState>
  </autoFilter>
  <mergeCells count="1">
    <mergeCell ref="B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6195-9F45-5E42-8AFD-9BC911379554}">
  <dimension ref="A1:G21"/>
  <sheetViews>
    <sheetView workbookViewId="0">
      <selection activeCell="O21" sqref="O21"/>
    </sheetView>
  </sheetViews>
  <sheetFormatPr baseColWidth="10" defaultRowHeight="13" x14ac:dyDescent="0.15"/>
  <cols>
    <col min="2" max="2" width="16" bestFit="1" customWidth="1"/>
  </cols>
  <sheetData>
    <row r="1" spans="1:7" x14ac:dyDescent="0.15">
      <c r="A1" s="32" t="s">
        <v>0</v>
      </c>
      <c r="B1" s="20" t="s">
        <v>73</v>
      </c>
    </row>
    <row r="2" spans="1:7" x14ac:dyDescent="0.15">
      <c r="A2" s="33" t="s">
        <v>7</v>
      </c>
      <c r="B2" s="34">
        <v>1045</v>
      </c>
    </row>
    <row r="3" spans="1:7" x14ac:dyDescent="0.15">
      <c r="A3" s="28" t="s">
        <v>13</v>
      </c>
      <c r="B3">
        <v>2106</v>
      </c>
    </row>
    <row r="4" spans="1:7" x14ac:dyDescent="0.15">
      <c r="A4" s="31" t="s">
        <v>29</v>
      </c>
      <c r="B4" s="35">
        <v>2578</v>
      </c>
    </row>
    <row r="5" spans="1:7" x14ac:dyDescent="0.15">
      <c r="A5" s="28" t="s">
        <v>21</v>
      </c>
      <c r="B5">
        <v>2662</v>
      </c>
    </row>
    <row r="6" spans="1:7" x14ac:dyDescent="0.15">
      <c r="A6" s="33" t="s">
        <v>27</v>
      </c>
      <c r="B6" s="34">
        <v>2680</v>
      </c>
    </row>
    <row r="7" spans="1:7" x14ac:dyDescent="0.15">
      <c r="A7" s="31" t="s">
        <v>11</v>
      </c>
      <c r="B7" s="35">
        <v>2722</v>
      </c>
    </row>
    <row r="8" spans="1:7" x14ac:dyDescent="0.15">
      <c r="A8" s="28" t="s">
        <v>28</v>
      </c>
      <c r="B8">
        <v>2859</v>
      </c>
    </row>
    <row r="9" spans="1:7" x14ac:dyDescent="0.15">
      <c r="A9" s="31" t="s">
        <v>20</v>
      </c>
      <c r="B9" s="35">
        <v>2921</v>
      </c>
      <c r="E9" s="28"/>
      <c r="F9" s="34" t="s">
        <v>71</v>
      </c>
      <c r="G9" s="36">
        <v>0.58339227613523836</v>
      </c>
    </row>
    <row r="10" spans="1:7" x14ac:dyDescent="0.15">
      <c r="A10" s="28" t="s">
        <v>17</v>
      </c>
      <c r="B10">
        <v>3022</v>
      </c>
      <c r="E10" s="28"/>
      <c r="F10" s="35" t="s">
        <v>72</v>
      </c>
      <c r="G10" s="37">
        <v>0.41660772386476164</v>
      </c>
    </row>
    <row r="11" spans="1:7" x14ac:dyDescent="0.15">
      <c r="A11" s="33" t="s">
        <v>26</v>
      </c>
      <c r="B11" s="34">
        <v>3104</v>
      </c>
    </row>
    <row r="12" spans="1:7" x14ac:dyDescent="0.15">
      <c r="A12" s="33" t="s">
        <v>15</v>
      </c>
      <c r="B12" s="34">
        <v>3552</v>
      </c>
    </row>
    <row r="13" spans="1:7" x14ac:dyDescent="0.15">
      <c r="A13" s="33" t="s">
        <v>19</v>
      </c>
      <c r="B13" s="34">
        <v>4049</v>
      </c>
    </row>
    <row r="14" spans="1:7" x14ac:dyDescent="0.15">
      <c r="A14" s="33" t="s">
        <v>18</v>
      </c>
      <c r="B14" s="34">
        <v>4434</v>
      </c>
    </row>
    <row r="15" spans="1:7" x14ac:dyDescent="0.15">
      <c r="A15" s="33" t="s">
        <v>22</v>
      </c>
      <c r="B15" s="34">
        <v>4582</v>
      </c>
    </row>
    <row r="16" spans="1:7" x14ac:dyDescent="0.15">
      <c r="A16" s="33" t="s">
        <v>24</v>
      </c>
      <c r="B16" s="34">
        <v>4655</v>
      </c>
    </row>
    <row r="17" spans="1:2" x14ac:dyDescent="0.15">
      <c r="A17" s="28" t="s">
        <v>25</v>
      </c>
      <c r="B17">
        <v>4690</v>
      </c>
    </row>
    <row r="18" spans="1:2" x14ac:dyDescent="0.15">
      <c r="A18" s="33" t="s">
        <v>23</v>
      </c>
      <c r="B18" s="34">
        <v>4891</v>
      </c>
    </row>
    <row r="20" spans="1:2" x14ac:dyDescent="0.15">
      <c r="A20" s="20" t="s">
        <v>2</v>
      </c>
      <c r="B20" s="20">
        <f>SUM(B2:B18)</f>
        <v>56552</v>
      </c>
    </row>
    <row r="21" spans="1:2" x14ac:dyDescent="0.15">
      <c r="A21" s="28" t="s">
        <v>59</v>
      </c>
      <c r="B21">
        <f>MEDIAN(B2:B18)</f>
        <v>3022</v>
      </c>
    </row>
  </sheetData>
  <autoFilter ref="A1:B18" xr:uid="{20FF6195-9F45-5E42-8AFD-9BC911379554}">
    <sortState xmlns:xlrd2="http://schemas.microsoft.com/office/spreadsheetml/2017/richdata2" ref="A2:B18">
      <sortCondition ref="B1:B18"/>
    </sortState>
  </autoFilter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13AA-648C-2243-A093-5955FE56E0AB}">
  <dimension ref="A1:G23"/>
  <sheetViews>
    <sheetView zoomScale="110" zoomScaleNormal="110" workbookViewId="0">
      <selection activeCell="F3" sqref="F3"/>
    </sheetView>
  </sheetViews>
  <sheetFormatPr baseColWidth="10" defaultRowHeight="16" x14ac:dyDescent="0.2"/>
  <cols>
    <col min="1" max="1" width="19.33203125" style="21" bestFit="1" customWidth="1"/>
    <col min="2" max="2" width="12.83203125" style="21" bestFit="1" customWidth="1"/>
    <col min="3" max="3" width="43.83203125" style="21" bestFit="1" customWidth="1"/>
    <col min="4" max="4" width="24.1640625" style="21" bestFit="1" customWidth="1"/>
    <col min="5" max="5" width="16.6640625" style="21" bestFit="1" customWidth="1"/>
    <col min="6" max="6" width="13" style="22" bestFit="1" customWidth="1"/>
    <col min="7" max="7" width="22.1640625" style="22" bestFit="1" customWidth="1"/>
    <col min="8" max="16384" width="10.83203125" style="21"/>
  </cols>
  <sheetData>
    <row r="1" spans="1:7" x14ac:dyDescent="0.2">
      <c r="B1" s="69">
        <v>2020</v>
      </c>
      <c r="C1" s="69"/>
      <c r="D1" s="69"/>
    </row>
    <row r="2" spans="1:7" x14ac:dyDescent="0.2">
      <c r="A2" s="29" t="s">
        <v>123</v>
      </c>
      <c r="B2" s="23" t="s">
        <v>0</v>
      </c>
      <c r="C2" s="23" t="s">
        <v>70</v>
      </c>
      <c r="D2" s="23" t="s">
        <v>58</v>
      </c>
      <c r="E2" s="45" t="s">
        <v>78</v>
      </c>
      <c r="F2" s="45" t="s">
        <v>79</v>
      </c>
      <c r="G2" s="45" t="s">
        <v>80</v>
      </c>
    </row>
    <row r="3" spans="1:7" x14ac:dyDescent="0.2">
      <c r="A3" s="22">
        <v>16</v>
      </c>
      <c r="B3" s="21" t="s">
        <v>13</v>
      </c>
      <c r="C3" s="27">
        <v>107187</v>
      </c>
      <c r="D3" s="22">
        <v>780001</v>
      </c>
      <c r="E3" s="24">
        <f>C3/D3</f>
        <v>0.13741905459095566</v>
      </c>
      <c r="F3" s="22" t="str">
        <f>IF(C3&gt;=$C$22,"High","Low")</f>
        <v>Low</v>
      </c>
      <c r="G3" s="22" t="str">
        <f t="shared" ref="G3:G19" si="0">IF(D3&gt;=$D$22,"High","Low")</f>
        <v>Low</v>
      </c>
    </row>
    <row r="4" spans="1:7" x14ac:dyDescent="0.2">
      <c r="A4" s="22">
        <v>3</v>
      </c>
      <c r="B4" s="21" t="s">
        <v>7</v>
      </c>
      <c r="C4" s="27">
        <v>398900</v>
      </c>
      <c r="D4" s="22">
        <v>2660593</v>
      </c>
      <c r="E4" s="24">
        <f t="shared" ref="E4:E18" si="1">C4/D4</f>
        <v>0.14992898199762233</v>
      </c>
      <c r="F4" s="22" t="str">
        <f t="shared" ref="F4:F19" si="2">IF(C4&gt;=$C$22,"High","Low")</f>
        <v>Low</v>
      </c>
      <c r="G4" s="22" t="str">
        <f t="shared" si="0"/>
        <v>High</v>
      </c>
    </row>
    <row r="5" spans="1:7" x14ac:dyDescent="0.2">
      <c r="A5" s="22">
        <v>1</v>
      </c>
      <c r="B5" s="21" t="s">
        <v>19</v>
      </c>
      <c r="C5" s="27">
        <v>606348.5</v>
      </c>
      <c r="D5" s="22">
        <v>3652990</v>
      </c>
      <c r="E5" s="24">
        <f t="shared" si="1"/>
        <v>0.16598690387874043</v>
      </c>
      <c r="F5" s="22" t="str">
        <f t="shared" si="2"/>
        <v>High</v>
      </c>
      <c r="G5" s="22" t="str">
        <f t="shared" si="0"/>
        <v>High</v>
      </c>
    </row>
    <row r="6" spans="1:7" x14ac:dyDescent="0.2">
      <c r="A6" s="22">
        <v>2</v>
      </c>
      <c r="B6" s="21" t="s">
        <v>18</v>
      </c>
      <c r="C6" s="27">
        <v>532256</v>
      </c>
      <c r="D6" s="22">
        <v>2826829</v>
      </c>
      <c r="E6" s="24">
        <f t="shared" si="1"/>
        <v>0.1882873000100112</v>
      </c>
      <c r="F6" s="22" t="str">
        <f t="shared" si="2"/>
        <v>High</v>
      </c>
      <c r="G6" s="22" t="str">
        <f t="shared" si="0"/>
        <v>High</v>
      </c>
    </row>
    <row r="7" spans="1:7" x14ac:dyDescent="0.2">
      <c r="A7" s="22">
        <v>13</v>
      </c>
      <c r="B7" s="21" t="s">
        <v>17</v>
      </c>
      <c r="C7" s="27">
        <v>191926.5</v>
      </c>
      <c r="D7" s="22">
        <v>913322</v>
      </c>
      <c r="E7" s="24">
        <f t="shared" si="1"/>
        <v>0.21014111124006649</v>
      </c>
      <c r="F7" s="22" t="str">
        <f t="shared" si="2"/>
        <v>Low</v>
      </c>
      <c r="G7" s="22" t="str">
        <f t="shared" si="0"/>
        <v>Low</v>
      </c>
    </row>
    <row r="8" spans="1:7" x14ac:dyDescent="0.2">
      <c r="A8" s="22">
        <v>5</v>
      </c>
      <c r="B8" s="21" t="s">
        <v>24</v>
      </c>
      <c r="C8" s="27">
        <v>540618</v>
      </c>
      <c r="D8" s="22">
        <v>2007141</v>
      </c>
      <c r="E8" s="24">
        <f t="shared" si="1"/>
        <v>0.26934729548148334</v>
      </c>
      <c r="F8" s="22" t="str">
        <f t="shared" si="2"/>
        <v>High</v>
      </c>
      <c r="G8" s="22" t="str">
        <f t="shared" si="0"/>
        <v>High</v>
      </c>
    </row>
    <row r="9" spans="1:7" x14ac:dyDescent="0.2">
      <c r="A9" s="22">
        <v>9</v>
      </c>
      <c r="B9" s="21" t="s">
        <v>15</v>
      </c>
      <c r="C9" s="27">
        <v>381794.5</v>
      </c>
      <c r="D9" s="22">
        <v>1284454</v>
      </c>
      <c r="E9" s="24">
        <f t="shared" si="1"/>
        <v>0.29724264162048619</v>
      </c>
      <c r="F9" s="22" t="str">
        <f t="shared" si="2"/>
        <v>Low</v>
      </c>
      <c r="G9" s="22" t="str">
        <f t="shared" si="0"/>
        <v>High</v>
      </c>
    </row>
    <row r="10" spans="1:7" x14ac:dyDescent="0.2">
      <c r="A10" s="22">
        <v>4</v>
      </c>
      <c r="B10" s="21" t="s">
        <v>23</v>
      </c>
      <c r="C10" s="27">
        <v>624815</v>
      </c>
      <c r="D10" s="22">
        <v>2043920</v>
      </c>
      <c r="E10" s="24">
        <f t="shared" si="1"/>
        <v>0.30569444988062155</v>
      </c>
      <c r="F10" s="22" t="str">
        <f t="shared" si="2"/>
        <v>High</v>
      </c>
      <c r="G10" s="22" t="str">
        <f t="shared" si="0"/>
        <v>High</v>
      </c>
    </row>
    <row r="11" spans="1:7" x14ac:dyDescent="0.2">
      <c r="A11" s="22">
        <v>8</v>
      </c>
      <c r="B11" s="21" t="s">
        <v>27</v>
      </c>
      <c r="C11" s="27">
        <v>404542.5</v>
      </c>
      <c r="D11" s="22">
        <v>1286075</v>
      </c>
      <c r="E11" s="24">
        <f t="shared" si="1"/>
        <v>0.31455591625682794</v>
      </c>
      <c r="F11" s="22" t="str">
        <f t="shared" si="2"/>
        <v>Low</v>
      </c>
      <c r="G11" s="22" t="str">
        <f t="shared" si="0"/>
        <v>High</v>
      </c>
    </row>
    <row r="12" spans="1:7" x14ac:dyDescent="0.2">
      <c r="A12" s="22">
        <v>11</v>
      </c>
      <c r="B12" s="21" t="s">
        <v>28</v>
      </c>
      <c r="C12" s="27">
        <v>401800.5</v>
      </c>
      <c r="D12" s="22">
        <v>1256650</v>
      </c>
      <c r="E12" s="24">
        <f t="shared" si="1"/>
        <v>0.31973938646401145</v>
      </c>
      <c r="F12" s="22" t="str">
        <f t="shared" si="2"/>
        <v>Low</v>
      </c>
      <c r="G12" s="22" t="str">
        <f t="shared" si="0"/>
        <v>Low</v>
      </c>
    </row>
    <row r="13" spans="1:7" x14ac:dyDescent="0.2">
      <c r="A13" s="22">
        <v>7</v>
      </c>
      <c r="B13" s="21" t="s">
        <v>26</v>
      </c>
      <c r="C13" s="27">
        <v>442566</v>
      </c>
      <c r="D13" s="22">
        <v>1290234</v>
      </c>
      <c r="E13" s="24">
        <f t="shared" si="1"/>
        <v>0.34301219778737813</v>
      </c>
      <c r="F13" s="22" t="str">
        <f t="shared" si="2"/>
        <v>High</v>
      </c>
      <c r="G13" s="22" t="str">
        <f t="shared" si="0"/>
        <v>High</v>
      </c>
    </row>
    <row r="14" spans="1:7" x14ac:dyDescent="0.2">
      <c r="A14" s="22">
        <v>14</v>
      </c>
      <c r="B14" s="21" t="s">
        <v>81</v>
      </c>
      <c r="C14" s="27">
        <v>351762.5</v>
      </c>
      <c r="D14" s="22">
        <v>882763</v>
      </c>
      <c r="E14" s="24">
        <f t="shared" si="1"/>
        <v>0.39847898020193417</v>
      </c>
      <c r="F14" s="22" t="str">
        <f t="shared" si="2"/>
        <v>Low</v>
      </c>
      <c r="G14" s="22" t="str">
        <f t="shared" si="0"/>
        <v>Low</v>
      </c>
    </row>
    <row r="15" spans="1:7" x14ac:dyDescent="0.2">
      <c r="A15" s="22">
        <v>10</v>
      </c>
      <c r="B15" s="21" t="s">
        <v>25</v>
      </c>
      <c r="C15" s="27">
        <v>504800</v>
      </c>
      <c r="D15" s="22">
        <v>1265851</v>
      </c>
      <c r="E15" s="24">
        <f t="shared" si="1"/>
        <v>0.39878311112445303</v>
      </c>
      <c r="F15" s="22" t="str">
        <f t="shared" si="2"/>
        <v>High</v>
      </c>
      <c r="G15" s="22" t="str">
        <f t="shared" si="0"/>
        <v>Low</v>
      </c>
    </row>
    <row r="16" spans="1:7" x14ac:dyDescent="0.2">
      <c r="A16" s="22">
        <v>17</v>
      </c>
      <c r="B16" s="21" t="s">
        <v>29</v>
      </c>
      <c r="C16" s="27">
        <v>322319.5</v>
      </c>
      <c r="D16" s="22">
        <v>780001</v>
      </c>
      <c r="E16" s="24">
        <f t="shared" si="1"/>
        <v>0.41322959842359175</v>
      </c>
      <c r="F16" s="22" t="str">
        <f t="shared" si="2"/>
        <v>Low</v>
      </c>
      <c r="G16" s="22" t="str">
        <f t="shared" si="0"/>
        <v>Low</v>
      </c>
    </row>
    <row r="17" spans="1:7" x14ac:dyDescent="0.2">
      <c r="A17" s="22">
        <v>6</v>
      </c>
      <c r="B17" s="21" t="s">
        <v>22</v>
      </c>
      <c r="C17" s="27">
        <v>726721</v>
      </c>
      <c r="D17" s="22">
        <v>1665253</v>
      </c>
      <c r="E17" s="24">
        <f t="shared" si="1"/>
        <v>0.43640275681833329</v>
      </c>
      <c r="F17" s="22" t="str">
        <f t="shared" si="2"/>
        <v>High</v>
      </c>
      <c r="G17" s="22" t="str">
        <f t="shared" si="0"/>
        <v>High</v>
      </c>
    </row>
    <row r="18" spans="1:7" x14ac:dyDescent="0.2">
      <c r="A18" s="22">
        <v>12</v>
      </c>
      <c r="B18" s="21" t="s">
        <v>20</v>
      </c>
      <c r="C18" s="27">
        <v>491075.5</v>
      </c>
      <c r="D18" s="22">
        <v>1027901</v>
      </c>
      <c r="E18" s="24">
        <f t="shared" si="1"/>
        <v>0.47774591132803645</v>
      </c>
      <c r="F18" s="22" t="str">
        <f t="shared" si="2"/>
        <v>High</v>
      </c>
      <c r="G18" s="22" t="str">
        <f t="shared" si="0"/>
        <v>Low</v>
      </c>
    </row>
    <row r="19" spans="1:7" x14ac:dyDescent="0.2">
      <c r="A19" s="22">
        <v>15</v>
      </c>
      <c r="B19" s="21" t="s">
        <v>11</v>
      </c>
      <c r="C19" s="27">
        <v>694742</v>
      </c>
      <c r="D19" s="22">
        <v>870095</v>
      </c>
      <c r="E19" s="24">
        <f>C19/D19</f>
        <v>0.7984668340813359</v>
      </c>
      <c r="F19" s="22" t="str">
        <f t="shared" si="2"/>
        <v>High</v>
      </c>
      <c r="G19" s="22" t="str">
        <f t="shared" si="0"/>
        <v>Low</v>
      </c>
    </row>
    <row r="20" spans="1:7" x14ac:dyDescent="0.2">
      <c r="B20" s="29"/>
      <c r="C20" s="30"/>
      <c r="D20" s="30"/>
      <c r="E20" s="38"/>
    </row>
    <row r="21" spans="1:7" x14ac:dyDescent="0.2">
      <c r="B21" s="23" t="s">
        <v>2</v>
      </c>
      <c r="C21" s="30">
        <f>SUM(C3:C19)</f>
        <v>7724175</v>
      </c>
      <c r="D21" s="30">
        <f>SUM(D3:D19)</f>
        <v>26494073</v>
      </c>
      <c r="E21" s="30"/>
    </row>
    <row r="22" spans="1:7" x14ac:dyDescent="0.2">
      <c r="B22" s="23" t="s">
        <v>59</v>
      </c>
      <c r="C22" s="30">
        <f>MEDIAN(C3:C19)</f>
        <v>442566</v>
      </c>
      <c r="D22" s="30">
        <f t="shared" ref="D22:E22" si="3">MEDIAN(D3:D19)</f>
        <v>1284454</v>
      </c>
      <c r="E22" s="38">
        <f t="shared" si="3"/>
        <v>0.31455591625682794</v>
      </c>
    </row>
    <row r="23" spans="1:7" x14ac:dyDescent="0.2">
      <c r="B23" s="23" t="s">
        <v>82</v>
      </c>
      <c r="C23" s="38">
        <f>C21/D21</f>
        <v>0.29154350861794637</v>
      </c>
      <c r="D23" s="22"/>
      <c r="E23" s="22"/>
    </row>
  </sheetData>
  <autoFilter ref="B2:E20" xr:uid="{C0DB13AA-648C-2243-A093-5955FE56E0AB}">
    <sortState xmlns:xlrd2="http://schemas.microsoft.com/office/spreadsheetml/2017/richdata2" ref="B3:E20">
      <sortCondition ref="E2:E20"/>
    </sortState>
  </autoFilter>
  <mergeCells count="1">
    <mergeCell ref="B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5E33-9E8A-E943-9EBD-B74DAD2D0EBC}">
  <dimension ref="A1:I103"/>
  <sheetViews>
    <sheetView topLeftCell="B1" workbookViewId="0">
      <selection activeCell="M3" sqref="M3"/>
    </sheetView>
  </sheetViews>
  <sheetFormatPr baseColWidth="10" defaultRowHeight="13" x14ac:dyDescent="0.15"/>
  <cols>
    <col min="1" max="5" width="15.1640625" customWidth="1"/>
    <col min="8" max="8" width="13.1640625" bestFit="1" customWidth="1"/>
    <col min="9" max="9" width="17.6640625" bestFit="1" customWidth="1"/>
    <col min="10" max="10" width="6.33203125" bestFit="1" customWidth="1"/>
    <col min="11" max="11" width="10.6640625" bestFit="1" customWidth="1"/>
  </cols>
  <sheetData>
    <row r="1" spans="1:9" ht="16" x14ac:dyDescent="0.2">
      <c r="A1" s="48" t="s">
        <v>0</v>
      </c>
      <c r="B1" s="48" t="s">
        <v>83</v>
      </c>
      <c r="C1" s="48" t="s">
        <v>84</v>
      </c>
      <c r="D1" s="48" t="s">
        <v>40</v>
      </c>
      <c r="E1" s="48" t="s">
        <v>5</v>
      </c>
      <c r="F1" s="46"/>
      <c r="H1" s="49" t="s">
        <v>40</v>
      </c>
      <c r="I1" t="s">
        <v>69</v>
      </c>
    </row>
    <row r="2" spans="1:9" ht="16" x14ac:dyDescent="0.2">
      <c r="A2" s="47" t="s">
        <v>7</v>
      </c>
      <c r="B2" s="47">
        <v>519</v>
      </c>
      <c r="C2" s="47" t="s">
        <v>85</v>
      </c>
      <c r="D2" s="47" t="s">
        <v>86</v>
      </c>
      <c r="E2" s="47" t="s">
        <v>87</v>
      </c>
      <c r="F2" s="46"/>
      <c r="H2" s="49" t="s">
        <v>84</v>
      </c>
      <c r="I2" t="s">
        <v>69</v>
      </c>
    </row>
    <row r="3" spans="1:9" ht="16" x14ac:dyDescent="0.2">
      <c r="A3" s="47" t="s">
        <v>13</v>
      </c>
      <c r="B3" s="47">
        <v>1541</v>
      </c>
      <c r="C3" s="47" t="s">
        <v>85</v>
      </c>
      <c r="D3" s="47" t="s">
        <v>86</v>
      </c>
      <c r="E3" s="47" t="s">
        <v>87</v>
      </c>
      <c r="F3" s="46"/>
    </row>
    <row r="4" spans="1:9" ht="16" x14ac:dyDescent="0.2">
      <c r="A4" s="47" t="s">
        <v>15</v>
      </c>
      <c r="B4" s="47">
        <v>2417</v>
      </c>
      <c r="C4" s="47" t="s">
        <v>85</v>
      </c>
      <c r="D4" s="47" t="s">
        <v>86</v>
      </c>
      <c r="E4" s="47" t="s">
        <v>87</v>
      </c>
      <c r="F4" s="46"/>
      <c r="H4" s="49" t="s">
        <v>91</v>
      </c>
      <c r="I4" t="s">
        <v>92</v>
      </c>
    </row>
    <row r="5" spans="1:9" ht="16" x14ac:dyDescent="0.2">
      <c r="A5" s="47" t="s">
        <v>17</v>
      </c>
      <c r="B5" s="47">
        <v>2213</v>
      </c>
      <c r="C5" s="47" t="s">
        <v>85</v>
      </c>
      <c r="D5" s="47" t="s">
        <v>86</v>
      </c>
      <c r="E5" s="47" t="s">
        <v>87</v>
      </c>
      <c r="F5" s="46"/>
      <c r="H5" s="50" t="s">
        <v>19</v>
      </c>
      <c r="I5">
        <v>8689</v>
      </c>
    </row>
    <row r="6" spans="1:9" ht="16" x14ac:dyDescent="0.2">
      <c r="A6" s="47" t="s">
        <v>18</v>
      </c>
      <c r="B6" s="47">
        <v>3022</v>
      </c>
      <c r="C6" s="47" t="s">
        <v>85</v>
      </c>
      <c r="D6" s="47" t="s">
        <v>86</v>
      </c>
      <c r="E6" s="47" t="s">
        <v>87</v>
      </c>
      <c r="F6" s="46"/>
      <c r="H6" s="50" t="s">
        <v>18</v>
      </c>
      <c r="I6">
        <v>7136</v>
      </c>
    </row>
    <row r="7" spans="1:9" ht="16" x14ac:dyDescent="0.2">
      <c r="A7" s="47" t="s">
        <v>19</v>
      </c>
      <c r="B7" s="47">
        <v>2755</v>
      </c>
      <c r="C7" s="47" t="s">
        <v>85</v>
      </c>
      <c r="D7" s="47" t="s">
        <v>86</v>
      </c>
      <c r="E7" s="47" t="s">
        <v>87</v>
      </c>
      <c r="F7" s="46"/>
      <c r="H7" s="50" t="s">
        <v>23</v>
      </c>
      <c r="I7">
        <v>6394</v>
      </c>
    </row>
    <row r="8" spans="1:9" ht="16" x14ac:dyDescent="0.2">
      <c r="A8" s="47" t="s">
        <v>81</v>
      </c>
      <c r="B8" s="47">
        <v>1905</v>
      </c>
      <c r="C8" s="47" t="s">
        <v>85</v>
      </c>
      <c r="D8" s="47" t="s">
        <v>86</v>
      </c>
      <c r="E8" s="47" t="s">
        <v>87</v>
      </c>
      <c r="F8" s="46"/>
      <c r="H8" s="50" t="s">
        <v>24</v>
      </c>
      <c r="I8">
        <v>6249</v>
      </c>
    </row>
    <row r="9" spans="1:9" ht="16" x14ac:dyDescent="0.2">
      <c r="A9" s="47" t="s">
        <v>22</v>
      </c>
      <c r="B9" s="47">
        <v>3161</v>
      </c>
      <c r="C9" s="47" t="s">
        <v>85</v>
      </c>
      <c r="D9" s="47" t="s">
        <v>86</v>
      </c>
      <c r="E9" s="47" t="s">
        <v>87</v>
      </c>
      <c r="F9" s="46"/>
      <c r="H9" s="50" t="s">
        <v>22</v>
      </c>
      <c r="I9">
        <v>5489</v>
      </c>
    </row>
    <row r="10" spans="1:9" ht="16" x14ac:dyDescent="0.2">
      <c r="A10" s="47" t="s">
        <v>23</v>
      </c>
      <c r="B10" s="47">
        <v>3413</v>
      </c>
      <c r="C10" s="47" t="s">
        <v>85</v>
      </c>
      <c r="D10" s="47" t="s">
        <v>86</v>
      </c>
      <c r="E10" s="47" t="s">
        <v>87</v>
      </c>
      <c r="F10" s="46"/>
      <c r="H10" s="50" t="s">
        <v>25</v>
      </c>
      <c r="I10">
        <v>5141</v>
      </c>
    </row>
    <row r="11" spans="1:9" ht="16" x14ac:dyDescent="0.2">
      <c r="A11" s="47" t="s">
        <v>24</v>
      </c>
      <c r="B11" s="47">
        <v>2948</v>
      </c>
      <c r="C11" s="47" t="s">
        <v>85</v>
      </c>
      <c r="D11" s="47" t="s">
        <v>86</v>
      </c>
      <c r="E11" s="47" t="s">
        <v>87</v>
      </c>
      <c r="F11" s="46"/>
      <c r="H11" s="50" t="s">
        <v>7</v>
      </c>
      <c r="I11">
        <v>4685</v>
      </c>
    </row>
    <row r="12" spans="1:9" ht="16" x14ac:dyDescent="0.2">
      <c r="A12" s="47" t="s">
        <v>25</v>
      </c>
      <c r="B12" s="47">
        <v>3648</v>
      </c>
      <c r="C12" s="47" t="s">
        <v>85</v>
      </c>
      <c r="D12" s="47" t="s">
        <v>86</v>
      </c>
      <c r="E12" s="47" t="s">
        <v>87</v>
      </c>
      <c r="F12" s="46"/>
      <c r="H12" s="50" t="s">
        <v>15</v>
      </c>
      <c r="I12">
        <v>4549</v>
      </c>
    </row>
    <row r="13" spans="1:9" ht="16" x14ac:dyDescent="0.2">
      <c r="A13" s="47" t="s">
        <v>20</v>
      </c>
      <c r="B13" s="47">
        <v>2128</v>
      </c>
      <c r="C13" s="47" t="s">
        <v>85</v>
      </c>
      <c r="D13" s="47" t="s">
        <v>86</v>
      </c>
      <c r="E13" s="47" t="s">
        <v>87</v>
      </c>
      <c r="F13" s="46"/>
      <c r="H13" s="50" t="s">
        <v>26</v>
      </c>
      <c r="I13">
        <v>4078</v>
      </c>
    </row>
    <row r="14" spans="1:9" ht="16" x14ac:dyDescent="0.2">
      <c r="A14" s="47" t="s">
        <v>26</v>
      </c>
      <c r="B14" s="47">
        <v>2161</v>
      </c>
      <c r="C14" s="47" t="s">
        <v>85</v>
      </c>
      <c r="D14" s="47" t="s">
        <v>86</v>
      </c>
      <c r="E14" s="47" t="s">
        <v>87</v>
      </c>
      <c r="F14" s="46"/>
      <c r="H14" s="50" t="s">
        <v>17</v>
      </c>
      <c r="I14">
        <v>3663</v>
      </c>
    </row>
    <row r="15" spans="1:9" ht="16" x14ac:dyDescent="0.2">
      <c r="A15" s="47" t="s">
        <v>27</v>
      </c>
      <c r="B15" s="47">
        <v>1736</v>
      </c>
      <c r="C15" s="47" t="s">
        <v>85</v>
      </c>
      <c r="D15" s="47" t="s">
        <v>86</v>
      </c>
      <c r="E15" s="47" t="s">
        <v>87</v>
      </c>
      <c r="F15" s="46"/>
      <c r="H15" s="50" t="s">
        <v>27</v>
      </c>
      <c r="I15">
        <v>3592</v>
      </c>
    </row>
    <row r="16" spans="1:9" ht="16" x14ac:dyDescent="0.2">
      <c r="A16" s="47" t="s">
        <v>28</v>
      </c>
      <c r="B16" s="47">
        <v>1827</v>
      </c>
      <c r="C16" s="47" t="s">
        <v>85</v>
      </c>
      <c r="D16" s="47" t="s">
        <v>86</v>
      </c>
      <c r="E16" s="47" t="s">
        <v>87</v>
      </c>
      <c r="F16" s="46"/>
      <c r="H16" s="50" t="s">
        <v>28</v>
      </c>
      <c r="I16">
        <v>3553</v>
      </c>
    </row>
    <row r="17" spans="1:9" ht="16" x14ac:dyDescent="0.2">
      <c r="A17" s="47" t="s">
        <v>29</v>
      </c>
      <c r="B17" s="47">
        <v>1706</v>
      </c>
      <c r="C17" s="47" t="s">
        <v>85</v>
      </c>
      <c r="D17" s="47" t="s">
        <v>86</v>
      </c>
      <c r="E17" s="47" t="s">
        <v>87</v>
      </c>
      <c r="F17" s="46"/>
      <c r="H17" s="50" t="s">
        <v>20</v>
      </c>
      <c r="I17">
        <v>3372</v>
      </c>
    </row>
    <row r="18" spans="1:9" ht="16" x14ac:dyDescent="0.2">
      <c r="A18" s="47" t="s">
        <v>11</v>
      </c>
      <c r="B18" s="47">
        <v>2135</v>
      </c>
      <c r="C18" s="47" t="s">
        <v>85</v>
      </c>
      <c r="D18" s="47" t="s">
        <v>86</v>
      </c>
      <c r="E18" s="47" t="s">
        <v>87</v>
      </c>
      <c r="F18" s="46"/>
      <c r="H18" s="50" t="s">
        <v>81</v>
      </c>
      <c r="I18">
        <v>3115</v>
      </c>
    </row>
    <row r="19" spans="1:9" ht="16" x14ac:dyDescent="0.2">
      <c r="A19" s="47" t="s">
        <v>7</v>
      </c>
      <c r="B19" s="47">
        <v>1947</v>
      </c>
      <c r="C19" s="47" t="s">
        <v>88</v>
      </c>
      <c r="D19" s="47" t="s">
        <v>86</v>
      </c>
      <c r="E19" s="47" t="s">
        <v>87</v>
      </c>
      <c r="F19" s="46"/>
      <c r="H19" s="50" t="s">
        <v>11</v>
      </c>
      <c r="I19">
        <v>3083</v>
      </c>
    </row>
    <row r="20" spans="1:9" ht="16" x14ac:dyDescent="0.2">
      <c r="A20" s="47" t="s">
        <v>13</v>
      </c>
      <c r="B20" s="47">
        <v>181</v>
      </c>
      <c r="C20" s="47" t="s">
        <v>88</v>
      </c>
      <c r="D20" s="47" t="s">
        <v>86</v>
      </c>
      <c r="E20" s="47" t="s">
        <v>87</v>
      </c>
      <c r="F20" s="46"/>
      <c r="H20" s="50" t="s">
        <v>29</v>
      </c>
      <c r="I20">
        <v>2996</v>
      </c>
    </row>
    <row r="21" spans="1:9" ht="16" x14ac:dyDescent="0.2">
      <c r="A21" s="47" t="s">
        <v>15</v>
      </c>
      <c r="B21" s="47">
        <v>447</v>
      </c>
      <c r="C21" s="47" t="s">
        <v>88</v>
      </c>
      <c r="D21" s="47" t="s">
        <v>86</v>
      </c>
      <c r="E21" s="47" t="s">
        <v>87</v>
      </c>
      <c r="F21" s="46"/>
      <c r="H21" s="50" t="s">
        <v>13</v>
      </c>
      <c r="I21">
        <v>2532</v>
      </c>
    </row>
    <row r="22" spans="1:9" ht="16" x14ac:dyDescent="0.2">
      <c r="A22" s="47" t="s">
        <v>17</v>
      </c>
      <c r="B22" s="47">
        <v>347</v>
      </c>
      <c r="C22" s="47" t="s">
        <v>88</v>
      </c>
      <c r="D22" s="47" t="s">
        <v>86</v>
      </c>
      <c r="E22" s="47" t="s">
        <v>87</v>
      </c>
      <c r="F22" s="46"/>
      <c r="H22" s="50" t="s">
        <v>30</v>
      </c>
      <c r="I22">
        <v>78316</v>
      </c>
    </row>
    <row r="23" spans="1:9" ht="16" x14ac:dyDescent="0.2">
      <c r="A23" s="47" t="s">
        <v>18</v>
      </c>
      <c r="B23" s="47">
        <v>1320</v>
      </c>
      <c r="C23" s="47" t="s">
        <v>88</v>
      </c>
      <c r="D23" s="47" t="s">
        <v>86</v>
      </c>
      <c r="E23" s="47" t="s">
        <v>87</v>
      </c>
      <c r="F23" s="46"/>
    </row>
    <row r="24" spans="1:9" ht="16" x14ac:dyDescent="0.2">
      <c r="A24" s="47" t="s">
        <v>19</v>
      </c>
      <c r="B24" s="47">
        <v>2409</v>
      </c>
      <c r="C24" s="47" t="s">
        <v>88</v>
      </c>
      <c r="D24" s="47" t="s">
        <v>86</v>
      </c>
      <c r="E24" s="47" t="s">
        <v>87</v>
      </c>
      <c r="F24" s="46"/>
    </row>
    <row r="25" spans="1:9" ht="16" x14ac:dyDescent="0.2">
      <c r="A25" s="47" t="s">
        <v>81</v>
      </c>
      <c r="B25" s="47">
        <v>220</v>
      </c>
      <c r="C25" s="47" t="s">
        <v>88</v>
      </c>
      <c r="D25" s="47" t="s">
        <v>86</v>
      </c>
      <c r="E25" s="47" t="s">
        <v>87</v>
      </c>
      <c r="F25" s="46"/>
    </row>
    <row r="26" spans="1:9" ht="16" x14ac:dyDescent="0.2">
      <c r="A26" s="47" t="s">
        <v>22</v>
      </c>
      <c r="B26" s="47">
        <v>436</v>
      </c>
      <c r="C26" s="47" t="s">
        <v>88</v>
      </c>
      <c r="D26" s="47" t="s">
        <v>86</v>
      </c>
      <c r="E26" s="47" t="s">
        <v>87</v>
      </c>
      <c r="F26" s="46"/>
    </row>
    <row r="27" spans="1:9" ht="16" x14ac:dyDescent="0.2">
      <c r="A27" s="47" t="s">
        <v>23</v>
      </c>
      <c r="B27" s="47">
        <v>905</v>
      </c>
      <c r="C27" s="47" t="s">
        <v>88</v>
      </c>
      <c r="D27" s="47" t="s">
        <v>86</v>
      </c>
      <c r="E27" s="47" t="s">
        <v>87</v>
      </c>
      <c r="F27" s="46"/>
    </row>
    <row r="28" spans="1:9" ht="16" x14ac:dyDescent="0.2">
      <c r="A28" s="47" t="s">
        <v>24</v>
      </c>
      <c r="B28" s="47">
        <v>743</v>
      </c>
      <c r="C28" s="47" t="s">
        <v>88</v>
      </c>
      <c r="D28" s="47" t="s">
        <v>86</v>
      </c>
      <c r="E28" s="47" t="s">
        <v>87</v>
      </c>
      <c r="F28" s="46"/>
    </row>
    <row r="29" spans="1:9" ht="16" x14ac:dyDescent="0.2">
      <c r="A29" s="47" t="s">
        <v>25</v>
      </c>
      <c r="B29" s="47">
        <v>207</v>
      </c>
      <c r="C29" s="47" t="s">
        <v>88</v>
      </c>
      <c r="D29" s="47" t="s">
        <v>86</v>
      </c>
      <c r="E29" s="47" t="s">
        <v>87</v>
      </c>
      <c r="F29" s="46"/>
    </row>
    <row r="30" spans="1:9" ht="16" x14ac:dyDescent="0.2">
      <c r="A30" s="47" t="s">
        <v>20</v>
      </c>
      <c r="B30" s="47">
        <v>208</v>
      </c>
      <c r="C30" s="47" t="s">
        <v>88</v>
      </c>
      <c r="D30" s="47" t="s">
        <v>86</v>
      </c>
      <c r="E30" s="47" t="s">
        <v>87</v>
      </c>
      <c r="F30" s="46"/>
    </row>
    <row r="31" spans="1:9" ht="16" x14ac:dyDescent="0.2">
      <c r="A31" s="47" t="s">
        <v>26</v>
      </c>
      <c r="B31" s="47">
        <v>451</v>
      </c>
      <c r="C31" s="47" t="s">
        <v>88</v>
      </c>
      <c r="D31" s="47" t="s">
        <v>86</v>
      </c>
      <c r="E31" s="47" t="s">
        <v>87</v>
      </c>
      <c r="F31" s="46"/>
    </row>
    <row r="32" spans="1:9" ht="16" x14ac:dyDescent="0.2">
      <c r="A32" s="47" t="s">
        <v>27</v>
      </c>
      <c r="B32" s="47">
        <v>444</v>
      </c>
      <c r="C32" s="47" t="s">
        <v>88</v>
      </c>
      <c r="D32" s="47" t="s">
        <v>86</v>
      </c>
      <c r="E32" s="47" t="s">
        <v>87</v>
      </c>
      <c r="F32" s="46"/>
    </row>
    <row r="33" spans="1:6" ht="16" x14ac:dyDescent="0.2">
      <c r="A33" s="47" t="s">
        <v>28</v>
      </c>
      <c r="B33" s="47">
        <v>321</v>
      </c>
      <c r="C33" s="47" t="s">
        <v>88</v>
      </c>
      <c r="D33" s="47" t="s">
        <v>86</v>
      </c>
      <c r="E33" s="47" t="s">
        <v>87</v>
      </c>
      <c r="F33" s="46"/>
    </row>
    <row r="34" spans="1:6" ht="16" x14ac:dyDescent="0.2">
      <c r="A34" s="47" t="s">
        <v>29</v>
      </c>
      <c r="B34" s="47">
        <v>234</v>
      </c>
      <c r="C34" s="47" t="s">
        <v>88</v>
      </c>
      <c r="D34" s="47" t="s">
        <v>86</v>
      </c>
      <c r="E34" s="47" t="s">
        <v>87</v>
      </c>
      <c r="F34" s="46"/>
    </row>
    <row r="35" spans="1:6" ht="16" x14ac:dyDescent="0.2">
      <c r="A35" s="47" t="s">
        <v>11</v>
      </c>
      <c r="B35" s="47">
        <v>189</v>
      </c>
      <c r="C35" s="47" t="s">
        <v>88</v>
      </c>
      <c r="D35" s="47" t="s">
        <v>86</v>
      </c>
      <c r="E35" s="47" t="s">
        <v>87</v>
      </c>
      <c r="F35" s="46"/>
    </row>
    <row r="36" spans="1:6" ht="15" x14ac:dyDescent="0.2">
      <c r="A36" s="47" t="s">
        <v>7</v>
      </c>
      <c r="B36" s="47">
        <v>288</v>
      </c>
      <c r="C36" s="47" t="s">
        <v>85</v>
      </c>
      <c r="D36" s="47" t="s">
        <v>89</v>
      </c>
      <c r="E36" s="47" t="s">
        <v>87</v>
      </c>
    </row>
    <row r="37" spans="1:6" ht="15" x14ac:dyDescent="0.2">
      <c r="A37" s="47" t="s">
        <v>13</v>
      </c>
      <c r="B37" s="47">
        <v>333</v>
      </c>
      <c r="C37" s="47" t="s">
        <v>85</v>
      </c>
      <c r="D37" s="47" t="s">
        <v>89</v>
      </c>
      <c r="E37" s="47" t="s">
        <v>87</v>
      </c>
    </row>
    <row r="38" spans="1:6" ht="15" x14ac:dyDescent="0.2">
      <c r="A38" s="47" t="s">
        <v>15</v>
      </c>
      <c r="B38" s="47">
        <v>583</v>
      </c>
      <c r="C38" s="47" t="s">
        <v>85</v>
      </c>
      <c r="D38" s="47" t="s">
        <v>89</v>
      </c>
      <c r="E38" s="47" t="s">
        <v>87</v>
      </c>
    </row>
    <row r="39" spans="1:6" ht="15" x14ac:dyDescent="0.2">
      <c r="A39" s="47" t="s">
        <v>17</v>
      </c>
      <c r="B39" s="47">
        <v>468</v>
      </c>
      <c r="C39" s="47" t="s">
        <v>85</v>
      </c>
      <c r="D39" s="47" t="s">
        <v>89</v>
      </c>
      <c r="E39" s="47" t="s">
        <v>87</v>
      </c>
    </row>
    <row r="40" spans="1:6" ht="15" x14ac:dyDescent="0.2">
      <c r="A40" s="47" t="s">
        <v>18</v>
      </c>
      <c r="B40" s="47">
        <v>809</v>
      </c>
      <c r="C40" s="47" t="s">
        <v>85</v>
      </c>
      <c r="D40" s="47" t="s">
        <v>89</v>
      </c>
      <c r="E40" s="47" t="s">
        <v>87</v>
      </c>
    </row>
    <row r="41" spans="1:6" ht="15" x14ac:dyDescent="0.2">
      <c r="A41" s="47" t="s">
        <v>19</v>
      </c>
      <c r="B41" s="47">
        <v>770</v>
      </c>
      <c r="C41" s="47" t="s">
        <v>85</v>
      </c>
      <c r="D41" s="47" t="s">
        <v>89</v>
      </c>
      <c r="E41" s="47" t="s">
        <v>87</v>
      </c>
    </row>
    <row r="42" spans="1:6" ht="15" x14ac:dyDescent="0.2">
      <c r="A42" s="47" t="s">
        <v>81</v>
      </c>
      <c r="B42" s="47">
        <v>469</v>
      </c>
      <c r="C42" s="47" t="s">
        <v>85</v>
      </c>
      <c r="D42" s="47" t="s">
        <v>89</v>
      </c>
      <c r="E42" s="47" t="s">
        <v>87</v>
      </c>
    </row>
    <row r="43" spans="1:6" ht="15" x14ac:dyDescent="0.2">
      <c r="A43" s="47" t="s">
        <v>22</v>
      </c>
      <c r="B43" s="47">
        <v>736</v>
      </c>
      <c r="C43" s="47" t="s">
        <v>85</v>
      </c>
      <c r="D43" s="47" t="s">
        <v>89</v>
      </c>
      <c r="E43" s="47" t="s">
        <v>87</v>
      </c>
    </row>
    <row r="44" spans="1:6" ht="15" x14ac:dyDescent="0.2">
      <c r="A44" s="47" t="s">
        <v>23</v>
      </c>
      <c r="B44" s="47">
        <v>815</v>
      </c>
      <c r="C44" s="47" t="s">
        <v>85</v>
      </c>
      <c r="D44" s="47" t="s">
        <v>89</v>
      </c>
      <c r="E44" s="47" t="s">
        <v>87</v>
      </c>
    </row>
    <row r="45" spans="1:6" ht="15" x14ac:dyDescent="0.2">
      <c r="A45" s="47" t="s">
        <v>24</v>
      </c>
      <c r="B45" s="47">
        <v>941</v>
      </c>
      <c r="C45" s="47" t="s">
        <v>85</v>
      </c>
      <c r="D45" s="47" t="s">
        <v>89</v>
      </c>
      <c r="E45" s="47" t="s">
        <v>87</v>
      </c>
    </row>
    <row r="46" spans="1:6" ht="15" x14ac:dyDescent="0.2">
      <c r="A46" s="47" t="s">
        <v>25</v>
      </c>
      <c r="B46" s="47">
        <v>600</v>
      </c>
      <c r="C46" s="47" t="s">
        <v>85</v>
      </c>
      <c r="D46" s="47" t="s">
        <v>89</v>
      </c>
      <c r="E46" s="47" t="s">
        <v>87</v>
      </c>
    </row>
    <row r="47" spans="1:6" ht="15" x14ac:dyDescent="0.2">
      <c r="A47" s="47" t="s">
        <v>20</v>
      </c>
      <c r="B47" s="47">
        <v>433</v>
      </c>
      <c r="C47" s="47" t="s">
        <v>85</v>
      </c>
      <c r="D47" s="47" t="s">
        <v>89</v>
      </c>
      <c r="E47" s="47" t="s">
        <v>87</v>
      </c>
    </row>
    <row r="48" spans="1:6" ht="15" x14ac:dyDescent="0.2">
      <c r="A48" s="47" t="s">
        <v>26</v>
      </c>
      <c r="B48" s="47">
        <v>583</v>
      </c>
      <c r="C48" s="47" t="s">
        <v>85</v>
      </c>
      <c r="D48" s="47" t="s">
        <v>89</v>
      </c>
      <c r="E48" s="47" t="s">
        <v>87</v>
      </c>
    </row>
    <row r="49" spans="1:5" ht="15" x14ac:dyDescent="0.2">
      <c r="A49" s="47" t="s">
        <v>27</v>
      </c>
      <c r="B49" s="47">
        <v>576</v>
      </c>
      <c r="C49" s="47" t="s">
        <v>85</v>
      </c>
      <c r="D49" s="47" t="s">
        <v>89</v>
      </c>
      <c r="E49" s="47" t="s">
        <v>87</v>
      </c>
    </row>
    <row r="50" spans="1:5" ht="15" x14ac:dyDescent="0.2">
      <c r="A50" s="47" t="s">
        <v>28</v>
      </c>
      <c r="B50" s="47">
        <v>628</v>
      </c>
      <c r="C50" s="47" t="s">
        <v>85</v>
      </c>
      <c r="D50" s="47" t="s">
        <v>89</v>
      </c>
      <c r="E50" s="47" t="s">
        <v>87</v>
      </c>
    </row>
    <row r="51" spans="1:5" ht="15" x14ac:dyDescent="0.2">
      <c r="A51" s="47" t="s">
        <v>29</v>
      </c>
      <c r="B51" s="47">
        <v>473</v>
      </c>
      <c r="C51" s="47" t="s">
        <v>85</v>
      </c>
      <c r="D51" s="47" t="s">
        <v>89</v>
      </c>
      <c r="E51" s="47" t="s">
        <v>87</v>
      </c>
    </row>
    <row r="52" spans="1:5" ht="15" x14ac:dyDescent="0.2">
      <c r="A52" s="47" t="s">
        <v>11</v>
      </c>
      <c r="B52" s="47">
        <v>357</v>
      </c>
      <c r="C52" s="47" t="s">
        <v>85</v>
      </c>
      <c r="D52" s="47" t="s">
        <v>89</v>
      </c>
      <c r="E52" s="47" t="s">
        <v>87</v>
      </c>
    </row>
    <row r="53" spans="1:5" ht="15" x14ac:dyDescent="0.2">
      <c r="A53" s="47" t="s">
        <v>7</v>
      </c>
      <c r="B53" s="47">
        <v>927</v>
      </c>
      <c r="C53" s="47" t="s">
        <v>88</v>
      </c>
      <c r="D53" s="47" t="s">
        <v>89</v>
      </c>
      <c r="E53" s="47" t="s">
        <v>87</v>
      </c>
    </row>
    <row r="54" spans="1:5" ht="15" x14ac:dyDescent="0.2">
      <c r="A54" s="47" t="s">
        <v>13</v>
      </c>
      <c r="B54" s="47">
        <v>136</v>
      </c>
      <c r="C54" s="47" t="s">
        <v>88</v>
      </c>
      <c r="D54" s="47" t="s">
        <v>89</v>
      </c>
      <c r="E54" s="47" t="s">
        <v>87</v>
      </c>
    </row>
    <row r="55" spans="1:5" ht="15" x14ac:dyDescent="0.2">
      <c r="A55" s="47" t="s">
        <v>15</v>
      </c>
      <c r="B55" s="47">
        <v>306</v>
      </c>
      <c r="C55" s="47" t="s">
        <v>88</v>
      </c>
      <c r="D55" s="47" t="s">
        <v>89</v>
      </c>
      <c r="E55" s="47" t="s">
        <v>87</v>
      </c>
    </row>
    <row r="56" spans="1:5" ht="15" x14ac:dyDescent="0.2">
      <c r="A56" s="47" t="s">
        <v>17</v>
      </c>
      <c r="B56" s="47">
        <v>151</v>
      </c>
      <c r="C56" s="47" t="s">
        <v>88</v>
      </c>
      <c r="D56" s="47" t="s">
        <v>89</v>
      </c>
      <c r="E56" s="47" t="s">
        <v>87</v>
      </c>
    </row>
    <row r="57" spans="1:5" ht="15" x14ac:dyDescent="0.2">
      <c r="A57" s="47" t="s">
        <v>18</v>
      </c>
      <c r="B57" s="47">
        <v>745</v>
      </c>
      <c r="C57" s="47" t="s">
        <v>88</v>
      </c>
      <c r="D57" s="47" t="s">
        <v>89</v>
      </c>
      <c r="E57" s="47" t="s">
        <v>87</v>
      </c>
    </row>
    <row r="58" spans="1:5" ht="15" x14ac:dyDescent="0.2">
      <c r="A58" s="47" t="s">
        <v>19</v>
      </c>
      <c r="B58" s="47">
        <v>1312</v>
      </c>
      <c r="C58" s="47" t="s">
        <v>88</v>
      </c>
      <c r="D58" s="47" t="s">
        <v>89</v>
      </c>
      <c r="E58" s="47" t="s">
        <v>87</v>
      </c>
    </row>
    <row r="59" spans="1:5" ht="15" x14ac:dyDescent="0.2">
      <c r="A59" s="47" t="s">
        <v>81</v>
      </c>
      <c r="B59" s="47">
        <v>126</v>
      </c>
      <c r="C59" s="47" t="s">
        <v>88</v>
      </c>
      <c r="D59" s="47" t="s">
        <v>89</v>
      </c>
      <c r="E59" s="47" t="s">
        <v>87</v>
      </c>
    </row>
    <row r="60" spans="1:5" ht="15" x14ac:dyDescent="0.2">
      <c r="A60" s="47" t="s">
        <v>22</v>
      </c>
      <c r="B60" s="47">
        <v>220</v>
      </c>
      <c r="C60" s="47" t="s">
        <v>88</v>
      </c>
      <c r="D60" s="47" t="s">
        <v>89</v>
      </c>
      <c r="E60" s="47" t="s">
        <v>87</v>
      </c>
    </row>
    <row r="61" spans="1:5" ht="15" x14ac:dyDescent="0.2">
      <c r="A61" s="47" t="s">
        <v>23</v>
      </c>
      <c r="B61" s="47">
        <v>341</v>
      </c>
      <c r="C61" s="47" t="s">
        <v>88</v>
      </c>
      <c r="D61" s="47" t="s">
        <v>89</v>
      </c>
      <c r="E61" s="47" t="s">
        <v>87</v>
      </c>
    </row>
    <row r="62" spans="1:5" ht="15" x14ac:dyDescent="0.2">
      <c r="A62" s="47" t="s">
        <v>24</v>
      </c>
      <c r="B62" s="47">
        <v>482</v>
      </c>
      <c r="C62" s="47" t="s">
        <v>88</v>
      </c>
      <c r="D62" s="47" t="s">
        <v>89</v>
      </c>
      <c r="E62" s="47" t="s">
        <v>87</v>
      </c>
    </row>
    <row r="63" spans="1:5" ht="15" x14ac:dyDescent="0.2">
      <c r="A63" s="47" t="s">
        <v>25</v>
      </c>
      <c r="B63" s="47">
        <v>125</v>
      </c>
      <c r="C63" s="47" t="s">
        <v>88</v>
      </c>
      <c r="D63" s="47" t="s">
        <v>89</v>
      </c>
      <c r="E63" s="47" t="s">
        <v>87</v>
      </c>
    </row>
    <row r="64" spans="1:5" ht="15" x14ac:dyDescent="0.2">
      <c r="A64" s="47" t="s">
        <v>20</v>
      </c>
      <c r="B64" s="47">
        <v>112</v>
      </c>
      <c r="C64" s="47" t="s">
        <v>88</v>
      </c>
      <c r="D64" s="47" t="s">
        <v>89</v>
      </c>
      <c r="E64" s="47" t="s">
        <v>87</v>
      </c>
    </row>
    <row r="65" spans="1:6" ht="15" x14ac:dyDescent="0.2">
      <c r="A65" s="47" t="s">
        <v>26</v>
      </c>
      <c r="B65" s="47">
        <v>277</v>
      </c>
      <c r="C65" s="47" t="s">
        <v>88</v>
      </c>
      <c r="D65" s="47" t="s">
        <v>89</v>
      </c>
      <c r="E65" s="47" t="s">
        <v>87</v>
      </c>
    </row>
    <row r="66" spans="1:6" ht="15" x14ac:dyDescent="0.2">
      <c r="A66" s="47" t="s">
        <v>27</v>
      </c>
      <c r="B66" s="47">
        <v>241</v>
      </c>
      <c r="C66" s="47" t="s">
        <v>88</v>
      </c>
      <c r="D66" s="47" t="s">
        <v>89</v>
      </c>
      <c r="E66" s="47" t="s">
        <v>87</v>
      </c>
    </row>
    <row r="67" spans="1:6" ht="15" x14ac:dyDescent="0.2">
      <c r="A67" s="47" t="s">
        <v>28</v>
      </c>
      <c r="B67" s="47">
        <v>195</v>
      </c>
      <c r="C67" s="47" t="s">
        <v>88</v>
      </c>
      <c r="D67" s="47" t="s">
        <v>89</v>
      </c>
      <c r="E67" s="47" t="s">
        <v>87</v>
      </c>
    </row>
    <row r="68" spans="1:6" ht="15" x14ac:dyDescent="0.2">
      <c r="A68" s="47" t="s">
        <v>29</v>
      </c>
      <c r="B68" s="47">
        <v>97</v>
      </c>
      <c r="C68" s="47" t="s">
        <v>88</v>
      </c>
      <c r="D68" s="47" t="s">
        <v>89</v>
      </c>
      <c r="E68" s="47" t="s">
        <v>87</v>
      </c>
    </row>
    <row r="69" spans="1:6" ht="15" x14ac:dyDescent="0.2">
      <c r="A69" s="47" t="s">
        <v>11</v>
      </c>
      <c r="B69" s="47">
        <v>101</v>
      </c>
      <c r="C69" s="47" t="s">
        <v>88</v>
      </c>
      <c r="D69" s="47" t="s">
        <v>89</v>
      </c>
      <c r="E69" s="47" t="s">
        <v>87</v>
      </c>
    </row>
    <row r="70" spans="1:6" ht="16" x14ac:dyDescent="0.2">
      <c r="A70" s="47" t="s">
        <v>7</v>
      </c>
      <c r="B70" s="47">
        <v>238</v>
      </c>
      <c r="C70" s="47" t="s">
        <v>85</v>
      </c>
      <c r="D70" s="47" t="s">
        <v>90</v>
      </c>
      <c r="E70" s="47" t="s">
        <v>87</v>
      </c>
      <c r="F70" s="46"/>
    </row>
    <row r="71" spans="1:6" ht="16" x14ac:dyDescent="0.2">
      <c r="A71" s="47" t="s">
        <v>13</v>
      </c>
      <c r="B71" s="47">
        <v>232</v>
      </c>
      <c r="C71" s="47" t="s">
        <v>85</v>
      </c>
      <c r="D71" s="47" t="s">
        <v>90</v>
      </c>
      <c r="E71" s="47" t="s">
        <v>87</v>
      </c>
      <c r="F71" s="46"/>
    </row>
    <row r="72" spans="1:6" ht="16" x14ac:dyDescent="0.2">
      <c r="A72" s="47" t="s">
        <v>15</v>
      </c>
      <c r="B72" s="47">
        <v>552</v>
      </c>
      <c r="C72" s="47" t="s">
        <v>85</v>
      </c>
      <c r="D72" s="47" t="s">
        <v>90</v>
      </c>
      <c r="E72" s="47" t="s">
        <v>87</v>
      </c>
      <c r="F72" s="46"/>
    </row>
    <row r="73" spans="1:6" ht="16" x14ac:dyDescent="0.2">
      <c r="A73" s="47" t="s">
        <v>17</v>
      </c>
      <c r="B73" s="47">
        <v>341</v>
      </c>
      <c r="C73" s="47" t="s">
        <v>85</v>
      </c>
      <c r="D73" s="47" t="s">
        <v>90</v>
      </c>
      <c r="E73" s="47" t="s">
        <v>87</v>
      </c>
      <c r="F73" s="46"/>
    </row>
    <row r="74" spans="1:6" ht="16" x14ac:dyDescent="0.2">
      <c r="A74" s="47" t="s">
        <v>18</v>
      </c>
      <c r="B74" s="47">
        <v>603</v>
      </c>
      <c r="C74" s="47" t="s">
        <v>85</v>
      </c>
      <c r="D74" s="47" t="s">
        <v>90</v>
      </c>
      <c r="E74" s="47" t="s">
        <v>87</v>
      </c>
      <c r="F74" s="46"/>
    </row>
    <row r="75" spans="1:6" ht="16" x14ac:dyDescent="0.2">
      <c r="A75" s="47" t="s">
        <v>19</v>
      </c>
      <c r="B75" s="47">
        <v>524</v>
      </c>
      <c r="C75" s="47" t="s">
        <v>85</v>
      </c>
      <c r="D75" s="47" t="s">
        <v>90</v>
      </c>
      <c r="E75" s="47" t="s">
        <v>87</v>
      </c>
      <c r="F75" s="46"/>
    </row>
    <row r="76" spans="1:6" ht="16" x14ac:dyDescent="0.2">
      <c r="A76" s="47" t="s">
        <v>81</v>
      </c>
      <c r="B76" s="47">
        <v>288</v>
      </c>
      <c r="C76" s="47" t="s">
        <v>85</v>
      </c>
      <c r="D76" s="47" t="s">
        <v>90</v>
      </c>
      <c r="E76" s="47" t="s">
        <v>87</v>
      </c>
      <c r="F76" s="46"/>
    </row>
    <row r="77" spans="1:6" ht="16" x14ac:dyDescent="0.2">
      <c r="A77" s="47" t="s">
        <v>22</v>
      </c>
      <c r="B77" s="47">
        <v>685</v>
      </c>
      <c r="C77" s="47" t="s">
        <v>85</v>
      </c>
      <c r="D77" s="47" t="s">
        <v>90</v>
      </c>
      <c r="E77" s="47" t="s">
        <v>87</v>
      </c>
      <c r="F77" s="46"/>
    </row>
    <row r="78" spans="1:6" ht="16" x14ac:dyDescent="0.2">
      <c r="A78" s="47" t="s">
        <v>23</v>
      </c>
      <c r="B78" s="47">
        <v>663</v>
      </c>
      <c r="C78" s="47" t="s">
        <v>85</v>
      </c>
      <c r="D78" s="47" t="s">
        <v>90</v>
      </c>
      <c r="E78" s="47" t="s">
        <v>87</v>
      </c>
      <c r="F78" s="46"/>
    </row>
    <row r="79" spans="1:6" ht="16" x14ac:dyDescent="0.2">
      <c r="A79" s="47" t="s">
        <v>24</v>
      </c>
      <c r="B79" s="47">
        <v>766</v>
      </c>
      <c r="C79" s="47" t="s">
        <v>85</v>
      </c>
      <c r="D79" s="47" t="s">
        <v>90</v>
      </c>
      <c r="E79" s="47" t="s">
        <v>87</v>
      </c>
      <c r="F79" s="46"/>
    </row>
    <row r="80" spans="1:6" ht="16" x14ac:dyDescent="0.2">
      <c r="A80" s="47" t="s">
        <v>25</v>
      </c>
      <c r="B80" s="47">
        <v>442</v>
      </c>
      <c r="C80" s="47" t="s">
        <v>85</v>
      </c>
      <c r="D80" s="47" t="s">
        <v>90</v>
      </c>
      <c r="E80" s="47" t="s">
        <v>87</v>
      </c>
      <c r="F80" s="46"/>
    </row>
    <row r="81" spans="1:6" ht="16" x14ac:dyDescent="0.2">
      <c r="A81" s="47" t="s">
        <v>20</v>
      </c>
      <c r="B81" s="47">
        <v>360</v>
      </c>
      <c r="C81" s="47" t="s">
        <v>85</v>
      </c>
      <c r="D81" s="47" t="s">
        <v>90</v>
      </c>
      <c r="E81" s="47" t="s">
        <v>87</v>
      </c>
      <c r="F81" s="46"/>
    </row>
    <row r="82" spans="1:6" ht="16" x14ac:dyDescent="0.2">
      <c r="A82" s="47" t="s">
        <v>26</v>
      </c>
      <c r="B82" s="47">
        <v>360</v>
      </c>
      <c r="C82" s="47" t="s">
        <v>85</v>
      </c>
      <c r="D82" s="47" t="s">
        <v>90</v>
      </c>
      <c r="E82" s="47" t="s">
        <v>87</v>
      </c>
      <c r="F82" s="46"/>
    </row>
    <row r="83" spans="1:6" ht="16" x14ac:dyDescent="0.2">
      <c r="A83" s="47" t="s">
        <v>27</v>
      </c>
      <c r="B83" s="47">
        <v>368</v>
      </c>
      <c r="C83" s="47" t="s">
        <v>85</v>
      </c>
      <c r="D83" s="47" t="s">
        <v>90</v>
      </c>
      <c r="E83" s="47" t="s">
        <v>87</v>
      </c>
      <c r="F83" s="46"/>
    </row>
    <row r="84" spans="1:6" ht="16" x14ac:dyDescent="0.2">
      <c r="A84" s="47" t="s">
        <v>28</v>
      </c>
      <c r="B84" s="47">
        <v>404</v>
      </c>
      <c r="C84" s="47" t="s">
        <v>85</v>
      </c>
      <c r="D84" s="47" t="s">
        <v>90</v>
      </c>
      <c r="E84" s="47" t="s">
        <v>87</v>
      </c>
      <c r="F84" s="46"/>
    </row>
    <row r="85" spans="1:6" ht="16" x14ac:dyDescent="0.2">
      <c r="A85" s="47" t="s">
        <v>29</v>
      </c>
      <c r="B85" s="47">
        <v>399</v>
      </c>
      <c r="C85" s="47" t="s">
        <v>85</v>
      </c>
      <c r="D85" s="47" t="s">
        <v>90</v>
      </c>
      <c r="E85" s="47" t="s">
        <v>87</v>
      </c>
      <c r="F85" s="46"/>
    </row>
    <row r="86" spans="1:6" ht="16" x14ac:dyDescent="0.2">
      <c r="A86" s="47" t="s">
        <v>11</v>
      </c>
      <c r="B86" s="47">
        <v>230</v>
      </c>
      <c r="C86" s="47" t="s">
        <v>85</v>
      </c>
      <c r="D86" s="47" t="s">
        <v>90</v>
      </c>
      <c r="E86" s="47" t="s">
        <v>87</v>
      </c>
      <c r="F86" s="46"/>
    </row>
    <row r="87" spans="1:6" ht="16" x14ac:dyDescent="0.2">
      <c r="A87" s="47" t="s">
        <v>7</v>
      </c>
      <c r="B87" s="47">
        <v>766</v>
      </c>
      <c r="C87" s="47" t="s">
        <v>88</v>
      </c>
      <c r="D87" s="47" t="s">
        <v>90</v>
      </c>
      <c r="E87" s="47" t="s">
        <v>87</v>
      </c>
      <c r="F87" s="46"/>
    </row>
    <row r="88" spans="1:6" ht="16" x14ac:dyDescent="0.2">
      <c r="A88" s="47" t="s">
        <v>13</v>
      </c>
      <c r="B88" s="47">
        <v>109</v>
      </c>
      <c r="C88" s="47" t="s">
        <v>88</v>
      </c>
      <c r="D88" s="47" t="s">
        <v>90</v>
      </c>
      <c r="E88" s="47" t="s">
        <v>87</v>
      </c>
      <c r="F88" s="46"/>
    </row>
    <row r="89" spans="1:6" ht="16" x14ac:dyDescent="0.2">
      <c r="A89" s="47" t="s">
        <v>15</v>
      </c>
      <c r="B89" s="47">
        <v>244</v>
      </c>
      <c r="C89" s="47" t="s">
        <v>88</v>
      </c>
      <c r="D89" s="47" t="s">
        <v>90</v>
      </c>
      <c r="E89" s="47" t="s">
        <v>87</v>
      </c>
      <c r="F89" s="46"/>
    </row>
    <row r="90" spans="1:6" ht="16" x14ac:dyDescent="0.2">
      <c r="A90" s="47" t="s">
        <v>17</v>
      </c>
      <c r="B90" s="47">
        <v>143</v>
      </c>
      <c r="C90" s="47" t="s">
        <v>88</v>
      </c>
      <c r="D90" s="47" t="s">
        <v>90</v>
      </c>
      <c r="E90" s="47" t="s">
        <v>87</v>
      </c>
      <c r="F90" s="46"/>
    </row>
    <row r="91" spans="1:6" ht="16" x14ac:dyDescent="0.2">
      <c r="A91" s="47" t="s">
        <v>18</v>
      </c>
      <c r="B91" s="47">
        <v>637</v>
      </c>
      <c r="C91" s="47" t="s">
        <v>88</v>
      </c>
      <c r="D91" s="47" t="s">
        <v>90</v>
      </c>
      <c r="E91" s="47" t="s">
        <v>87</v>
      </c>
      <c r="F91" s="46"/>
    </row>
    <row r="92" spans="1:6" ht="16" x14ac:dyDescent="0.2">
      <c r="A92" s="47" t="s">
        <v>19</v>
      </c>
      <c r="B92" s="47">
        <v>919</v>
      </c>
      <c r="C92" s="47" t="s">
        <v>88</v>
      </c>
      <c r="D92" s="47" t="s">
        <v>90</v>
      </c>
      <c r="E92" s="47" t="s">
        <v>87</v>
      </c>
      <c r="F92" s="46"/>
    </row>
    <row r="93" spans="1:6" ht="16" x14ac:dyDescent="0.2">
      <c r="A93" s="47" t="s">
        <v>81</v>
      </c>
      <c r="B93" s="47">
        <v>107</v>
      </c>
      <c r="C93" s="47" t="s">
        <v>88</v>
      </c>
      <c r="D93" s="47" t="s">
        <v>90</v>
      </c>
      <c r="E93" s="47" t="s">
        <v>87</v>
      </c>
      <c r="F93" s="46"/>
    </row>
    <row r="94" spans="1:6" ht="16" x14ac:dyDescent="0.2">
      <c r="A94" s="47" t="s">
        <v>22</v>
      </c>
      <c r="B94" s="47">
        <v>251</v>
      </c>
      <c r="C94" s="47" t="s">
        <v>88</v>
      </c>
      <c r="D94" s="47" t="s">
        <v>90</v>
      </c>
      <c r="E94" s="47" t="s">
        <v>87</v>
      </c>
      <c r="F94" s="46"/>
    </row>
    <row r="95" spans="1:6" ht="16" x14ac:dyDescent="0.2">
      <c r="A95" s="47" t="s">
        <v>23</v>
      </c>
      <c r="B95" s="47">
        <v>257</v>
      </c>
      <c r="C95" s="47" t="s">
        <v>88</v>
      </c>
      <c r="D95" s="47" t="s">
        <v>90</v>
      </c>
      <c r="E95" s="47" t="s">
        <v>87</v>
      </c>
      <c r="F95" s="46"/>
    </row>
    <row r="96" spans="1:6" ht="16" x14ac:dyDescent="0.2">
      <c r="A96" s="47" t="s">
        <v>24</v>
      </c>
      <c r="B96" s="47">
        <v>369</v>
      </c>
      <c r="C96" s="47" t="s">
        <v>88</v>
      </c>
      <c r="D96" s="47" t="s">
        <v>90</v>
      </c>
      <c r="E96" s="47" t="s">
        <v>87</v>
      </c>
      <c r="F96" s="46"/>
    </row>
    <row r="97" spans="1:6" ht="16" x14ac:dyDescent="0.2">
      <c r="A97" s="47" t="s">
        <v>25</v>
      </c>
      <c r="B97" s="47">
        <v>119</v>
      </c>
      <c r="C97" s="47" t="s">
        <v>88</v>
      </c>
      <c r="D97" s="47" t="s">
        <v>90</v>
      </c>
      <c r="E97" s="47" t="s">
        <v>87</v>
      </c>
      <c r="F97" s="46"/>
    </row>
    <row r="98" spans="1:6" ht="16" x14ac:dyDescent="0.2">
      <c r="A98" s="47" t="s">
        <v>20</v>
      </c>
      <c r="B98" s="47">
        <v>131</v>
      </c>
      <c r="C98" s="47" t="s">
        <v>88</v>
      </c>
      <c r="D98" s="47" t="s">
        <v>90</v>
      </c>
      <c r="E98" s="47" t="s">
        <v>87</v>
      </c>
      <c r="F98" s="46"/>
    </row>
    <row r="99" spans="1:6" ht="16" x14ac:dyDescent="0.2">
      <c r="A99" s="47" t="s">
        <v>26</v>
      </c>
      <c r="B99" s="47">
        <v>246</v>
      </c>
      <c r="C99" s="47" t="s">
        <v>88</v>
      </c>
      <c r="D99" s="47" t="s">
        <v>90</v>
      </c>
      <c r="E99" s="47" t="s">
        <v>87</v>
      </c>
      <c r="F99" s="46"/>
    </row>
    <row r="100" spans="1:6" ht="16" x14ac:dyDescent="0.2">
      <c r="A100" s="47" t="s">
        <v>27</v>
      </c>
      <c r="B100" s="47">
        <v>227</v>
      </c>
      <c r="C100" s="47" t="s">
        <v>88</v>
      </c>
      <c r="D100" s="47" t="s">
        <v>90</v>
      </c>
      <c r="E100" s="47" t="s">
        <v>87</v>
      </c>
      <c r="F100" s="46"/>
    </row>
    <row r="101" spans="1:6" ht="16" x14ac:dyDescent="0.2">
      <c r="A101" s="47" t="s">
        <v>28</v>
      </c>
      <c r="B101" s="47">
        <v>178</v>
      </c>
      <c r="C101" s="47" t="s">
        <v>88</v>
      </c>
      <c r="D101" s="47" t="s">
        <v>90</v>
      </c>
      <c r="E101" s="47" t="s">
        <v>87</v>
      </c>
      <c r="F101" s="46"/>
    </row>
    <row r="102" spans="1:6" ht="16" x14ac:dyDescent="0.2">
      <c r="A102" s="47" t="s">
        <v>29</v>
      </c>
      <c r="B102" s="47">
        <v>87</v>
      </c>
      <c r="C102" s="47" t="s">
        <v>88</v>
      </c>
      <c r="D102" s="47" t="s">
        <v>90</v>
      </c>
      <c r="E102" s="47" t="s">
        <v>87</v>
      </c>
      <c r="F102" s="46"/>
    </row>
    <row r="103" spans="1:6" ht="16" x14ac:dyDescent="0.2">
      <c r="A103" s="47" t="s">
        <v>11</v>
      </c>
      <c r="B103" s="47">
        <v>71</v>
      </c>
      <c r="C103" s="47" t="s">
        <v>88</v>
      </c>
      <c r="D103" s="47" t="s">
        <v>90</v>
      </c>
      <c r="E103" s="47" t="s">
        <v>87</v>
      </c>
      <c r="F103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CE72-60D4-634A-9A82-78FD13D662C0}">
  <dimension ref="A1:F26"/>
  <sheetViews>
    <sheetView workbookViewId="0">
      <selection activeCell="F4" sqref="F4"/>
    </sheetView>
  </sheetViews>
  <sheetFormatPr baseColWidth="10" defaultRowHeight="16" x14ac:dyDescent="0.2"/>
  <cols>
    <col min="1" max="1" width="10.83203125" style="21"/>
    <col min="2" max="2" width="12.1640625" style="21" bestFit="1" customWidth="1"/>
    <col min="3" max="3" width="19.1640625" style="21" bestFit="1" customWidth="1"/>
    <col min="4" max="4" width="19.33203125" style="21" bestFit="1" customWidth="1"/>
    <col min="5" max="5" width="14.5" style="21" bestFit="1" customWidth="1"/>
    <col min="6" max="16384" width="10.83203125" style="21"/>
  </cols>
  <sheetData>
    <row r="1" spans="1:6" s="22" customFormat="1" x14ac:dyDescent="0.2">
      <c r="A1" s="23" t="s">
        <v>0</v>
      </c>
      <c r="B1" s="23" t="s">
        <v>86</v>
      </c>
      <c r="C1" s="23" t="s">
        <v>93</v>
      </c>
      <c r="D1" s="23" t="s">
        <v>94</v>
      </c>
      <c r="E1" s="45" t="s">
        <v>95</v>
      </c>
      <c r="F1" s="23" t="s">
        <v>118</v>
      </c>
    </row>
    <row r="2" spans="1:6" x14ac:dyDescent="0.2">
      <c r="A2" s="21" t="s">
        <v>7</v>
      </c>
      <c r="B2" s="51">
        <v>7.3611111111111113E-2</v>
      </c>
      <c r="C2" s="51">
        <v>7.4999999999999997E-2</v>
      </c>
      <c r="D2" s="51">
        <v>6.3194444444444442E-2</v>
      </c>
      <c r="E2" s="27">
        <f>3/(1/46+1/48+1/31)</f>
        <v>40.090589613432257</v>
      </c>
      <c r="F2" s="22">
        <v>17</v>
      </c>
    </row>
    <row r="3" spans="1:6" x14ac:dyDescent="0.2">
      <c r="A3" s="21" t="s">
        <v>19</v>
      </c>
      <c r="B3" s="51">
        <v>6.8750000000000006E-2</v>
      </c>
      <c r="C3" s="51">
        <v>7.4999999999999997E-2</v>
      </c>
      <c r="D3" s="51">
        <v>6.3888888888888884E-2</v>
      </c>
      <c r="E3" s="27">
        <f>3/(1/39+1/48+1/32)</f>
        <v>38.597938144329895</v>
      </c>
      <c r="F3" s="22">
        <v>16</v>
      </c>
    </row>
    <row r="4" spans="1:6" x14ac:dyDescent="0.2">
      <c r="A4" s="21" t="s">
        <v>18</v>
      </c>
      <c r="B4" s="51">
        <v>6.3194444444444442E-2</v>
      </c>
      <c r="C4" s="51">
        <v>6.6666666666666666E-2</v>
      </c>
      <c r="D4" s="51">
        <v>6.25E-2</v>
      </c>
      <c r="E4" s="27">
        <f>3/(1/31+1/36+1/30)</f>
        <v>32.130518234165066</v>
      </c>
      <c r="F4" s="22">
        <v>15</v>
      </c>
    </row>
    <row r="5" spans="1:6" x14ac:dyDescent="0.2">
      <c r="A5" s="21" t="s">
        <v>15</v>
      </c>
      <c r="B5" s="51">
        <v>5.7638888888888892E-2</v>
      </c>
      <c r="C5" s="51">
        <v>6.3194444444444442E-2</v>
      </c>
      <c r="D5" s="51">
        <v>6.1805555555555558E-2</v>
      </c>
      <c r="E5" s="27">
        <f>3/(1/23+1/31+1/29)</f>
        <v>27.218516893374289</v>
      </c>
      <c r="F5" s="22">
        <v>14</v>
      </c>
    </row>
    <row r="6" spans="1:6" x14ac:dyDescent="0.2">
      <c r="A6" s="21" t="s">
        <v>17</v>
      </c>
      <c r="B6" s="51">
        <v>5.6944444444444443E-2</v>
      </c>
      <c r="C6" s="51">
        <v>6.1111111111111109E-2</v>
      </c>
      <c r="D6" s="51">
        <v>6.0416666666666667E-2</v>
      </c>
      <c r="E6" s="27">
        <f>3/(1/22+1/28+1/27)</f>
        <v>25.379450661241098</v>
      </c>
      <c r="F6" s="22">
        <v>13</v>
      </c>
    </row>
    <row r="7" spans="1:6" x14ac:dyDescent="0.2">
      <c r="A7" s="21" t="s">
        <v>13</v>
      </c>
      <c r="B7" s="51">
        <v>5.4166666666666669E-2</v>
      </c>
      <c r="C7" s="51">
        <v>6.1805555555555558E-2</v>
      </c>
      <c r="D7" s="51">
        <v>5.9722222222222225E-2</v>
      </c>
      <c r="E7" s="27">
        <f t="shared" ref="E7:E18" si="0">3/(1/18+1/29+1/26)</f>
        <v>23.346330275229356</v>
      </c>
      <c r="F7" s="22">
        <v>12</v>
      </c>
    </row>
    <row r="8" spans="1:6" x14ac:dyDescent="0.2">
      <c r="A8" s="21" t="s">
        <v>81</v>
      </c>
      <c r="B8" s="51">
        <v>5.9027777777777776E-2</v>
      </c>
      <c r="C8" s="51">
        <v>6.6666666666666666E-2</v>
      </c>
      <c r="D8" s="51">
        <v>6.3194444444444442E-2</v>
      </c>
      <c r="E8" s="27">
        <f t="shared" si="0"/>
        <v>23.346330275229356</v>
      </c>
      <c r="F8" s="22">
        <v>11</v>
      </c>
    </row>
    <row r="9" spans="1:6" x14ac:dyDescent="0.2">
      <c r="A9" s="21" t="s">
        <v>22</v>
      </c>
      <c r="B9" s="51">
        <v>5.9722222222222225E-2</v>
      </c>
      <c r="C9" s="51">
        <v>6.8750000000000006E-2</v>
      </c>
      <c r="D9" s="51">
        <v>6.458333333333334E-2</v>
      </c>
      <c r="E9" s="27">
        <f t="shared" si="0"/>
        <v>23.346330275229356</v>
      </c>
      <c r="F9" s="22">
        <v>10</v>
      </c>
    </row>
    <row r="10" spans="1:6" x14ac:dyDescent="0.2">
      <c r="A10" s="21" t="s">
        <v>23</v>
      </c>
      <c r="B10" s="51">
        <v>5.8333333333333334E-2</v>
      </c>
      <c r="C10" s="51">
        <v>6.5972222222222224E-2</v>
      </c>
      <c r="D10" s="51">
        <v>6.1805555555555558E-2</v>
      </c>
      <c r="E10" s="27">
        <f t="shared" si="0"/>
        <v>23.346330275229356</v>
      </c>
      <c r="F10" s="22">
        <v>9</v>
      </c>
    </row>
    <row r="11" spans="1:6" x14ac:dyDescent="0.2">
      <c r="A11" s="21" t="s">
        <v>24</v>
      </c>
      <c r="B11" s="51">
        <v>6.1805555555555558E-2</v>
      </c>
      <c r="C11" s="51">
        <v>6.8750000000000006E-2</v>
      </c>
      <c r="D11" s="51">
        <v>6.458333333333334E-2</v>
      </c>
      <c r="E11" s="27">
        <f t="shared" si="0"/>
        <v>23.346330275229356</v>
      </c>
      <c r="F11" s="22">
        <v>8</v>
      </c>
    </row>
    <row r="12" spans="1:6" x14ac:dyDescent="0.2">
      <c r="A12" s="21" t="s">
        <v>25</v>
      </c>
      <c r="B12" s="51">
        <v>5.5555555555555552E-2</v>
      </c>
      <c r="C12" s="51">
        <v>6.5277777777777782E-2</v>
      </c>
      <c r="D12" s="51">
        <v>6.3194444444444442E-2</v>
      </c>
      <c r="E12" s="27">
        <f t="shared" si="0"/>
        <v>23.346330275229356</v>
      </c>
      <c r="F12" s="22">
        <v>7</v>
      </c>
    </row>
    <row r="13" spans="1:6" x14ac:dyDescent="0.2">
      <c r="A13" s="21" t="s">
        <v>20</v>
      </c>
      <c r="B13" s="51">
        <v>6.0416666666666667E-2</v>
      </c>
      <c r="C13" s="51">
        <v>6.9444444444444448E-2</v>
      </c>
      <c r="D13" s="51">
        <v>6.3194444444444442E-2</v>
      </c>
      <c r="E13" s="27">
        <f t="shared" si="0"/>
        <v>23.346330275229356</v>
      </c>
      <c r="F13" s="22">
        <v>6</v>
      </c>
    </row>
    <row r="14" spans="1:6" x14ac:dyDescent="0.2">
      <c r="A14" s="21" t="s">
        <v>26</v>
      </c>
      <c r="B14" s="51">
        <v>6.25E-2</v>
      </c>
      <c r="C14" s="51">
        <v>6.7361111111111108E-2</v>
      </c>
      <c r="D14" s="51">
        <v>6.1805555555555558E-2</v>
      </c>
      <c r="E14" s="27">
        <f t="shared" si="0"/>
        <v>23.346330275229356</v>
      </c>
      <c r="F14" s="22">
        <v>5</v>
      </c>
    </row>
    <row r="15" spans="1:6" x14ac:dyDescent="0.2">
      <c r="A15" s="21" t="s">
        <v>27</v>
      </c>
      <c r="B15" s="51">
        <v>6.3888888888888884E-2</v>
      </c>
      <c r="C15" s="51">
        <v>7.013888888888889E-2</v>
      </c>
      <c r="D15" s="51">
        <v>6.3888888888888884E-2</v>
      </c>
      <c r="E15" s="27">
        <f t="shared" si="0"/>
        <v>23.346330275229356</v>
      </c>
      <c r="F15" s="22">
        <v>4</v>
      </c>
    </row>
    <row r="16" spans="1:6" x14ac:dyDescent="0.2">
      <c r="A16" s="21" t="s">
        <v>28</v>
      </c>
      <c r="B16" s="51">
        <v>6.5277777777777782E-2</v>
      </c>
      <c r="C16" s="51">
        <v>6.9444444444444448E-2</v>
      </c>
      <c r="D16" s="51">
        <v>6.3888888888888884E-2</v>
      </c>
      <c r="E16" s="27">
        <f t="shared" si="0"/>
        <v>23.346330275229356</v>
      </c>
      <c r="F16" s="22">
        <v>3</v>
      </c>
    </row>
    <row r="17" spans="1:6" x14ac:dyDescent="0.2">
      <c r="A17" s="21" t="s">
        <v>29</v>
      </c>
      <c r="B17" s="51">
        <v>5.9722222222222225E-2</v>
      </c>
      <c r="C17" s="51">
        <v>6.5277777777777782E-2</v>
      </c>
      <c r="D17" s="51">
        <v>6.1111111111111109E-2</v>
      </c>
      <c r="E17" s="27">
        <f t="shared" si="0"/>
        <v>23.346330275229356</v>
      </c>
      <c r="F17" s="22">
        <v>2</v>
      </c>
    </row>
    <row r="18" spans="1:6" x14ac:dyDescent="0.2">
      <c r="A18" s="21" t="s">
        <v>11</v>
      </c>
      <c r="B18" s="51">
        <v>6.9444444444444448E-2</v>
      </c>
      <c r="C18" s="51">
        <v>7.9166666666666663E-2</v>
      </c>
      <c r="D18" s="51">
        <v>7.4999999999999997E-2</v>
      </c>
      <c r="E18" s="27">
        <f t="shared" si="0"/>
        <v>23.346330275229356</v>
      </c>
      <c r="F18" s="22">
        <v>1</v>
      </c>
    </row>
    <row r="21" spans="1:6" x14ac:dyDescent="0.2">
      <c r="A21" s="21">
        <v>25</v>
      </c>
    </row>
    <row r="22" spans="1:6" x14ac:dyDescent="0.2">
      <c r="A22" s="21">
        <v>30</v>
      </c>
    </row>
    <row r="23" spans="1:6" x14ac:dyDescent="0.2">
      <c r="A23" s="21">
        <v>35</v>
      </c>
    </row>
    <row r="24" spans="1:6" x14ac:dyDescent="0.2">
      <c r="A24" s="21">
        <v>40</v>
      </c>
    </row>
    <row r="25" spans="1:6" x14ac:dyDescent="0.2">
      <c r="A25" s="21">
        <v>45</v>
      </c>
    </row>
    <row r="26" spans="1:6" x14ac:dyDescent="0.2">
      <c r="A26" s="29">
        <f>MEDIAN(A21:A25)</f>
        <v>35</v>
      </c>
      <c r="B26" s="21" t="s">
        <v>101</v>
      </c>
    </row>
  </sheetData>
  <autoFilter ref="A1:E18" xr:uid="{95ADCE72-60D4-634A-9A82-78FD13D662C0}">
    <sortState xmlns:xlrd2="http://schemas.microsoft.com/office/spreadsheetml/2017/richdata2" ref="A2:E18">
      <sortCondition descending="1" ref="E1:E18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0D22-4DD4-5840-A2D6-813C691CDAF3}">
  <dimension ref="A1:H19"/>
  <sheetViews>
    <sheetView workbookViewId="0">
      <selection activeCell="H1" sqref="H1"/>
    </sheetView>
  </sheetViews>
  <sheetFormatPr baseColWidth="10" defaultRowHeight="16" x14ac:dyDescent="0.2"/>
  <cols>
    <col min="1" max="1" width="10.83203125" style="53"/>
    <col min="2" max="6" width="16.1640625" style="53" customWidth="1"/>
    <col min="7" max="16384" width="10.83203125" style="53"/>
  </cols>
  <sheetData>
    <row r="1" spans="1:8" x14ac:dyDescent="0.2">
      <c r="A1" s="52" t="s">
        <v>0</v>
      </c>
      <c r="B1" s="52" t="s">
        <v>96</v>
      </c>
      <c r="C1" s="52" t="s">
        <v>97</v>
      </c>
      <c r="D1" s="52" t="s">
        <v>98</v>
      </c>
      <c r="E1" s="52" t="s">
        <v>99</v>
      </c>
      <c r="F1" s="52" t="s">
        <v>100</v>
      </c>
      <c r="G1" s="45" t="s">
        <v>95</v>
      </c>
      <c r="H1" s="56" t="s">
        <v>118</v>
      </c>
    </row>
    <row r="2" spans="1:8" x14ac:dyDescent="0.2">
      <c r="A2" s="53" t="s">
        <v>11</v>
      </c>
      <c r="B2" s="54">
        <v>6.458333333333334E-2</v>
      </c>
      <c r="C2" s="54">
        <v>6.1111111111111109E-2</v>
      </c>
      <c r="D2" s="54">
        <v>7.7777777777777779E-2</v>
      </c>
      <c r="E2" s="54">
        <v>7.7777777777777779E-2</v>
      </c>
      <c r="F2" s="54">
        <v>7.7777777777777779E-2</v>
      </c>
      <c r="G2" s="53">
        <v>52</v>
      </c>
      <c r="H2" s="57">
        <v>17</v>
      </c>
    </row>
    <row r="3" spans="1:8" x14ac:dyDescent="0.2">
      <c r="A3" s="53" t="s">
        <v>23</v>
      </c>
      <c r="B3" s="54">
        <v>5.9027777777777776E-2</v>
      </c>
      <c r="C3" s="54">
        <v>5.9722222222222225E-2</v>
      </c>
      <c r="D3" s="54">
        <v>6.1111111111111109E-2</v>
      </c>
      <c r="E3" s="54">
        <v>6.1111111111111109E-2</v>
      </c>
      <c r="F3" s="54">
        <v>6.1111111111111109E-2</v>
      </c>
      <c r="G3" s="53">
        <v>28</v>
      </c>
      <c r="H3" s="57">
        <v>16</v>
      </c>
    </row>
    <row r="4" spans="1:8" x14ac:dyDescent="0.2">
      <c r="A4" s="53" t="s">
        <v>25</v>
      </c>
      <c r="B4" s="54">
        <v>5.6944444444444443E-2</v>
      </c>
      <c r="C4" s="54">
        <v>5.8333333333333334E-2</v>
      </c>
      <c r="D4" s="54">
        <v>6.1111111111111109E-2</v>
      </c>
      <c r="E4" s="54">
        <v>6.1111111111111109E-2</v>
      </c>
      <c r="F4" s="54">
        <v>6.1111111111111109E-2</v>
      </c>
      <c r="G4" s="53">
        <v>28</v>
      </c>
      <c r="H4" s="57">
        <v>15</v>
      </c>
    </row>
    <row r="5" spans="1:8" x14ac:dyDescent="0.2">
      <c r="A5" s="53" t="s">
        <v>7</v>
      </c>
      <c r="B5" s="54">
        <v>6.3888888888888884E-2</v>
      </c>
      <c r="C5" s="54">
        <v>5.7638888888888892E-2</v>
      </c>
      <c r="D5" s="54">
        <v>6.1111111111111109E-2</v>
      </c>
      <c r="E5" s="54">
        <v>6.1111111111111109E-2</v>
      </c>
      <c r="F5" s="54">
        <v>6.1111111111111109E-2</v>
      </c>
      <c r="G5" s="53">
        <v>28</v>
      </c>
      <c r="H5" s="57">
        <v>14</v>
      </c>
    </row>
    <row r="6" spans="1:8" x14ac:dyDescent="0.2">
      <c r="A6" s="53" t="s">
        <v>18</v>
      </c>
      <c r="B6" s="54">
        <v>6.1805555555555558E-2</v>
      </c>
      <c r="C6" s="54">
        <v>5.9027777777777776E-2</v>
      </c>
      <c r="D6" s="54">
        <v>6.0416666666666667E-2</v>
      </c>
      <c r="E6" s="54">
        <v>6.0416666666666667E-2</v>
      </c>
      <c r="F6" s="54">
        <v>6.0416666666666667E-2</v>
      </c>
      <c r="G6" s="53">
        <v>27</v>
      </c>
      <c r="H6" s="57">
        <v>13</v>
      </c>
    </row>
    <row r="7" spans="1:8" x14ac:dyDescent="0.2">
      <c r="A7" s="53" t="s">
        <v>19</v>
      </c>
      <c r="B7" s="54">
        <v>6.25E-2</v>
      </c>
      <c r="C7" s="54">
        <v>5.9722222222222225E-2</v>
      </c>
      <c r="D7" s="54">
        <v>6.0416666666666667E-2</v>
      </c>
      <c r="E7" s="54">
        <v>6.0416666666666667E-2</v>
      </c>
      <c r="F7" s="54">
        <v>6.0416666666666667E-2</v>
      </c>
      <c r="G7" s="53">
        <v>27</v>
      </c>
      <c r="H7" s="57">
        <v>12</v>
      </c>
    </row>
    <row r="8" spans="1:8" x14ac:dyDescent="0.2">
      <c r="A8" s="53" t="s">
        <v>24</v>
      </c>
      <c r="B8" s="54">
        <v>5.9722222222222225E-2</v>
      </c>
      <c r="C8" s="54">
        <v>5.7638888888888892E-2</v>
      </c>
      <c r="D8" s="54">
        <v>6.0416666666666667E-2</v>
      </c>
      <c r="E8" s="54">
        <v>6.0416666666666667E-2</v>
      </c>
      <c r="F8" s="54">
        <v>6.0416666666666667E-2</v>
      </c>
      <c r="G8" s="53">
        <v>27</v>
      </c>
      <c r="H8" s="57">
        <v>11</v>
      </c>
    </row>
    <row r="9" spans="1:8" x14ac:dyDescent="0.2">
      <c r="A9" s="53" t="s">
        <v>26</v>
      </c>
      <c r="B9" s="54">
        <v>6.0416666666666667E-2</v>
      </c>
      <c r="C9" s="54">
        <v>5.9027777777777776E-2</v>
      </c>
      <c r="D9" s="54">
        <v>6.0416666666666667E-2</v>
      </c>
      <c r="E9" s="54">
        <v>6.0416666666666667E-2</v>
      </c>
      <c r="F9" s="54">
        <v>6.0416666666666667E-2</v>
      </c>
      <c r="G9" s="53">
        <v>27</v>
      </c>
      <c r="H9" s="57">
        <v>10</v>
      </c>
    </row>
    <row r="10" spans="1:8" x14ac:dyDescent="0.2">
      <c r="A10" s="53" t="s">
        <v>27</v>
      </c>
      <c r="B10" s="54">
        <v>6.0416666666666667E-2</v>
      </c>
      <c r="C10" s="54">
        <v>5.8333333333333334E-2</v>
      </c>
      <c r="D10" s="54">
        <v>6.0416666666666667E-2</v>
      </c>
      <c r="E10" s="54">
        <v>6.0416666666666667E-2</v>
      </c>
      <c r="F10" s="54">
        <v>6.0416666666666667E-2</v>
      </c>
      <c r="G10" s="53">
        <v>27</v>
      </c>
      <c r="H10" s="57">
        <v>9</v>
      </c>
    </row>
    <row r="11" spans="1:8" x14ac:dyDescent="0.2">
      <c r="A11" s="53" t="s">
        <v>28</v>
      </c>
      <c r="B11" s="54">
        <v>6.0416666666666667E-2</v>
      </c>
      <c r="C11" s="54">
        <v>5.9722222222222225E-2</v>
      </c>
      <c r="D11" s="54">
        <v>6.0416666666666667E-2</v>
      </c>
      <c r="E11" s="54">
        <v>6.0416666666666667E-2</v>
      </c>
      <c r="F11" s="54">
        <v>6.0416666666666667E-2</v>
      </c>
      <c r="G11" s="53">
        <v>27</v>
      </c>
      <c r="H11" s="57">
        <v>8</v>
      </c>
    </row>
    <row r="12" spans="1:8" x14ac:dyDescent="0.2">
      <c r="A12" s="53" t="s">
        <v>15</v>
      </c>
      <c r="B12" s="54">
        <v>5.8333333333333334E-2</v>
      </c>
      <c r="C12" s="54">
        <v>5.8333333333333334E-2</v>
      </c>
      <c r="D12" s="54">
        <v>5.9722222222222225E-2</v>
      </c>
      <c r="E12" s="54">
        <v>5.9722222222222225E-2</v>
      </c>
      <c r="F12" s="54">
        <v>5.9722222222222225E-2</v>
      </c>
      <c r="G12" s="53">
        <v>26</v>
      </c>
      <c r="H12" s="57">
        <v>7</v>
      </c>
    </row>
    <row r="13" spans="1:8" x14ac:dyDescent="0.2">
      <c r="A13" s="53" t="s">
        <v>81</v>
      </c>
      <c r="B13" s="54">
        <v>5.9027777777777776E-2</v>
      </c>
      <c r="C13" s="54">
        <v>5.7638888888888892E-2</v>
      </c>
      <c r="D13" s="54">
        <v>5.9722222222222225E-2</v>
      </c>
      <c r="E13" s="54">
        <v>5.9722222222222225E-2</v>
      </c>
      <c r="F13" s="54">
        <v>5.9722222222222225E-2</v>
      </c>
      <c r="G13" s="53">
        <v>26</v>
      </c>
      <c r="H13" s="57">
        <v>6</v>
      </c>
    </row>
    <row r="14" spans="1:8" x14ac:dyDescent="0.2">
      <c r="A14" s="53" t="s">
        <v>20</v>
      </c>
      <c r="B14" s="54">
        <v>5.8333333333333334E-2</v>
      </c>
      <c r="C14" s="54">
        <v>5.9722222222222225E-2</v>
      </c>
      <c r="D14" s="54">
        <v>5.9722222222222225E-2</v>
      </c>
      <c r="E14" s="54">
        <v>5.9722222222222225E-2</v>
      </c>
      <c r="F14" s="54">
        <v>5.9722222222222225E-2</v>
      </c>
      <c r="G14" s="53">
        <v>26</v>
      </c>
      <c r="H14" s="57">
        <v>5</v>
      </c>
    </row>
    <row r="15" spans="1:8" x14ac:dyDescent="0.2">
      <c r="A15" s="53" t="s">
        <v>13</v>
      </c>
      <c r="B15" s="54">
        <v>5.5555555555555552E-2</v>
      </c>
      <c r="C15" s="54">
        <v>5.5555555555555552E-2</v>
      </c>
      <c r="D15" s="54">
        <v>5.9722222222222225E-2</v>
      </c>
      <c r="E15" s="54">
        <v>5.9722222222222225E-2</v>
      </c>
      <c r="F15" s="54">
        <v>5.9722222222222225E-2</v>
      </c>
      <c r="G15" s="53">
        <v>26</v>
      </c>
      <c r="H15" s="57">
        <v>4</v>
      </c>
    </row>
    <row r="16" spans="1:8" x14ac:dyDescent="0.2">
      <c r="A16" s="53" t="s">
        <v>17</v>
      </c>
      <c r="B16" s="54">
        <v>5.8333333333333334E-2</v>
      </c>
      <c r="C16" s="54">
        <v>5.8333333333333334E-2</v>
      </c>
      <c r="D16" s="54">
        <v>5.9027777777777776E-2</v>
      </c>
      <c r="E16" s="54">
        <v>5.9027777777777776E-2</v>
      </c>
      <c r="F16" s="54">
        <v>5.9027777777777776E-2</v>
      </c>
      <c r="G16" s="53">
        <v>25</v>
      </c>
      <c r="H16" s="57">
        <v>3</v>
      </c>
    </row>
    <row r="17" spans="1:8" x14ac:dyDescent="0.2">
      <c r="A17" s="53" t="s">
        <v>22</v>
      </c>
      <c r="B17" s="54">
        <v>5.8333333333333334E-2</v>
      </c>
      <c r="C17" s="54">
        <v>5.6944444444444443E-2</v>
      </c>
      <c r="D17" s="54">
        <v>5.7638888888888892E-2</v>
      </c>
      <c r="E17" s="54">
        <v>5.7638888888888892E-2</v>
      </c>
      <c r="F17" s="54">
        <v>5.7638888888888892E-2</v>
      </c>
      <c r="G17" s="53">
        <v>23</v>
      </c>
      <c r="H17" s="57">
        <v>2</v>
      </c>
    </row>
    <row r="18" spans="1:8" x14ac:dyDescent="0.2">
      <c r="A18" s="53" t="s">
        <v>29</v>
      </c>
      <c r="B18" s="54">
        <v>5.9027777777777776E-2</v>
      </c>
      <c r="C18" s="54">
        <v>5.7638888888888892E-2</v>
      </c>
      <c r="D18" s="54">
        <v>5.7638888888888892E-2</v>
      </c>
      <c r="E18" s="54">
        <v>5.7638888888888892E-2</v>
      </c>
      <c r="F18" s="54">
        <v>5.7638888888888892E-2</v>
      </c>
      <c r="G18" s="53">
        <v>23</v>
      </c>
      <c r="H18" s="57">
        <v>1</v>
      </c>
    </row>
    <row r="19" spans="1:8" x14ac:dyDescent="0.2">
      <c r="B19" s="54"/>
      <c r="C19" s="54"/>
      <c r="D19" s="54"/>
      <c r="E19" s="54"/>
      <c r="F19" s="54"/>
    </row>
  </sheetData>
  <autoFilter ref="A1:G18" xr:uid="{F88E0D22-4DD4-5840-A2D6-813C691CDAF3}">
    <sortState xmlns:xlrd2="http://schemas.microsoft.com/office/spreadsheetml/2017/richdata2" ref="A2:G18">
      <sortCondition descending="1" ref="G1:G18"/>
    </sortState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71C7-7DF5-9A4D-9118-BDC30FEE876D}">
  <sheetPr>
    <tabColor theme="5"/>
  </sheetPr>
  <dimension ref="A1:W968"/>
  <sheetViews>
    <sheetView topLeftCell="A5" zoomScale="120" zoomScaleNormal="120" workbookViewId="0">
      <selection activeCell="H23" sqref="H23"/>
    </sheetView>
  </sheetViews>
  <sheetFormatPr baseColWidth="10" defaultRowHeight="13" x14ac:dyDescent="0.15"/>
  <cols>
    <col min="1" max="1" width="23.33203125" customWidth="1"/>
    <col min="3" max="3" width="17.83203125" bestFit="1" customWidth="1"/>
    <col min="4" max="4" width="15.5" bestFit="1" customWidth="1"/>
    <col min="5" max="5" width="12.6640625" bestFit="1" customWidth="1"/>
  </cols>
  <sheetData>
    <row r="1" spans="1:23" x14ac:dyDescent="0.15">
      <c r="A1" s="28" t="s">
        <v>122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x14ac:dyDescent="0.15">
      <c r="A2" s="20" t="s">
        <v>0</v>
      </c>
      <c r="B2" s="20" t="s">
        <v>119</v>
      </c>
      <c r="C2" s="20" t="s">
        <v>120</v>
      </c>
      <c r="D2" s="20" t="s">
        <v>121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x14ac:dyDescent="0.15">
      <c r="A3" s="28" t="s">
        <v>7</v>
      </c>
      <c r="B3" s="55">
        <v>3</v>
      </c>
      <c r="C3" s="55">
        <v>17</v>
      </c>
      <c r="D3" s="55">
        <v>14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x14ac:dyDescent="0.15">
      <c r="A4" s="28" t="s">
        <v>13</v>
      </c>
      <c r="B4" s="55">
        <v>16</v>
      </c>
      <c r="C4" s="55">
        <v>12</v>
      </c>
      <c r="D4" s="55">
        <v>4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x14ac:dyDescent="0.15">
      <c r="A5" s="28" t="s">
        <v>103</v>
      </c>
      <c r="B5" s="55">
        <v>9</v>
      </c>
      <c r="C5" s="55">
        <v>14</v>
      </c>
      <c r="D5" s="55">
        <v>7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x14ac:dyDescent="0.15">
      <c r="A6" s="28" t="s">
        <v>104</v>
      </c>
      <c r="B6" s="55">
        <v>13</v>
      </c>
      <c r="C6" s="55">
        <v>13</v>
      </c>
      <c r="D6" s="55">
        <v>3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spans="1:23" x14ac:dyDescent="0.15">
      <c r="A7" s="28" t="s">
        <v>105</v>
      </c>
      <c r="B7" s="55">
        <v>2</v>
      </c>
      <c r="C7" s="55">
        <v>15</v>
      </c>
      <c r="D7" s="55">
        <v>13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 spans="1:23" x14ac:dyDescent="0.15">
      <c r="A8" s="28" t="s">
        <v>106</v>
      </c>
      <c r="B8" s="55">
        <v>1</v>
      </c>
      <c r="C8" s="55">
        <v>16</v>
      </c>
      <c r="D8" s="55">
        <v>12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23" x14ac:dyDescent="0.15">
      <c r="A9" s="28" t="s">
        <v>107</v>
      </c>
      <c r="B9" s="55">
        <v>14</v>
      </c>
      <c r="C9" s="55">
        <v>11</v>
      </c>
      <c r="D9" s="55">
        <v>6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spans="1:23" x14ac:dyDescent="0.15">
      <c r="A10" s="28" t="s">
        <v>108</v>
      </c>
      <c r="B10" s="55">
        <v>6</v>
      </c>
      <c r="C10" s="55">
        <v>10</v>
      </c>
      <c r="D10" s="55">
        <v>2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spans="1:23" x14ac:dyDescent="0.15">
      <c r="A11" s="28" t="s">
        <v>109</v>
      </c>
      <c r="B11" s="55">
        <v>4</v>
      </c>
      <c r="C11" s="55">
        <v>9</v>
      </c>
      <c r="D11" s="55">
        <v>16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3" x14ac:dyDescent="0.15">
      <c r="A12" s="28" t="s">
        <v>110</v>
      </c>
      <c r="B12" s="55">
        <v>5</v>
      </c>
      <c r="C12" s="55">
        <v>8</v>
      </c>
      <c r="D12" s="55">
        <v>11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x14ac:dyDescent="0.15">
      <c r="A13" s="28" t="s">
        <v>111</v>
      </c>
      <c r="B13" s="55">
        <v>10</v>
      </c>
      <c r="C13" s="55">
        <v>7</v>
      </c>
      <c r="D13" s="55">
        <v>15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x14ac:dyDescent="0.15">
      <c r="A14" s="28" t="s">
        <v>112</v>
      </c>
      <c r="B14" s="55">
        <v>12</v>
      </c>
      <c r="C14" s="55">
        <v>6</v>
      </c>
      <c r="D14" s="55">
        <v>5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x14ac:dyDescent="0.15">
      <c r="A15" s="28" t="s">
        <v>113</v>
      </c>
      <c r="B15" s="55">
        <v>7</v>
      </c>
      <c r="C15" s="55">
        <v>5</v>
      </c>
      <c r="D15" s="55">
        <v>10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3" x14ac:dyDescent="0.15">
      <c r="A16" s="28" t="s">
        <v>114</v>
      </c>
      <c r="B16" s="55">
        <v>8</v>
      </c>
      <c r="C16" s="55">
        <v>4</v>
      </c>
      <c r="D16" s="55">
        <v>9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spans="1:23" x14ac:dyDescent="0.15">
      <c r="A17" s="28" t="s">
        <v>115</v>
      </c>
      <c r="B17" s="55">
        <v>11</v>
      </c>
      <c r="C17" s="55">
        <v>3</v>
      </c>
      <c r="D17" s="55">
        <v>8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</row>
    <row r="18" spans="1:23" x14ac:dyDescent="0.15">
      <c r="A18" s="28" t="s">
        <v>116</v>
      </c>
      <c r="B18" s="55">
        <v>17</v>
      </c>
      <c r="C18" s="55">
        <v>2</v>
      </c>
      <c r="D18" s="55">
        <v>1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</row>
    <row r="19" spans="1:23" x14ac:dyDescent="0.15">
      <c r="A19" s="28" t="s">
        <v>11</v>
      </c>
      <c r="B19" s="55">
        <v>15</v>
      </c>
      <c r="C19" s="55">
        <v>1</v>
      </c>
      <c r="D19" s="55">
        <v>17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1:23" x14ac:dyDescent="0.1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spans="1:23" x14ac:dyDescent="0.15">
      <c r="A21" s="20" t="s">
        <v>117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</row>
    <row r="22" spans="1:23" x14ac:dyDescent="0.15">
      <c r="A22" s="28"/>
      <c r="B22" s="28"/>
      <c r="C22" s="28"/>
      <c r="D22" s="28"/>
      <c r="E22" s="28" t="s">
        <v>128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</row>
    <row r="23" spans="1:23" x14ac:dyDescent="0.15">
      <c r="A23" s="20" t="s">
        <v>0</v>
      </c>
      <c r="B23" s="20" t="s">
        <v>119</v>
      </c>
      <c r="C23" s="20" t="s">
        <v>120</v>
      </c>
      <c r="D23" s="20" t="s">
        <v>121</v>
      </c>
      <c r="E23" s="25" t="s">
        <v>124</v>
      </c>
      <c r="F23" s="55" t="s">
        <v>118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3" x14ac:dyDescent="0.15">
      <c r="A24" s="28" t="s">
        <v>7</v>
      </c>
      <c r="B24" s="55">
        <f>18-B3</f>
        <v>15</v>
      </c>
      <c r="C24" s="55">
        <f t="shared" ref="C24:D24" si="0">18-C3</f>
        <v>1</v>
      </c>
      <c r="D24" s="55">
        <f t="shared" si="0"/>
        <v>4</v>
      </c>
      <c r="E24" s="60">
        <f>(SUM(B24:D24))/3</f>
        <v>6.666666666666667</v>
      </c>
      <c r="F24" s="61">
        <f>_xlfn.RANK.EQ(E24, $E$24:$E$40, 0)</f>
        <v>17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</row>
    <row r="25" spans="1:23" x14ac:dyDescent="0.15">
      <c r="A25" s="28" t="s">
        <v>13</v>
      </c>
      <c r="B25" s="55">
        <f t="shared" ref="B25:D40" si="1">18-B4</f>
        <v>2</v>
      </c>
      <c r="C25" s="55">
        <f t="shared" si="1"/>
        <v>6</v>
      </c>
      <c r="D25" s="55">
        <f t="shared" si="1"/>
        <v>14</v>
      </c>
      <c r="E25" s="60">
        <f t="shared" ref="E25:E40" si="2">(SUM(B25:D25))/3</f>
        <v>7.333333333333333</v>
      </c>
      <c r="F25" s="61">
        <f t="shared" ref="F25:F40" si="3">_xlfn.RANK.EQ(E25, $E$24:$E$40, 0)</f>
        <v>14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</row>
    <row r="26" spans="1:23" x14ac:dyDescent="0.15">
      <c r="A26" s="28" t="s">
        <v>103</v>
      </c>
      <c r="B26" s="55">
        <f t="shared" si="1"/>
        <v>9</v>
      </c>
      <c r="C26" s="55">
        <f t="shared" si="1"/>
        <v>4</v>
      </c>
      <c r="D26" s="55">
        <f t="shared" si="1"/>
        <v>11</v>
      </c>
      <c r="E26" s="60">
        <f t="shared" si="2"/>
        <v>8</v>
      </c>
      <c r="F26" s="61">
        <f t="shared" si="3"/>
        <v>11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spans="1:23" x14ac:dyDescent="0.15">
      <c r="A27" s="28" t="s">
        <v>104</v>
      </c>
      <c r="B27" s="55">
        <f t="shared" si="1"/>
        <v>5</v>
      </c>
      <c r="C27" s="55">
        <f t="shared" si="1"/>
        <v>5</v>
      </c>
      <c r="D27" s="55">
        <f t="shared" si="1"/>
        <v>15</v>
      </c>
      <c r="E27" s="60">
        <f t="shared" si="2"/>
        <v>8.3333333333333339</v>
      </c>
      <c r="F27" s="61">
        <f t="shared" si="3"/>
        <v>8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spans="1:23" x14ac:dyDescent="0.15">
      <c r="A28" s="28" t="s">
        <v>105</v>
      </c>
      <c r="B28" s="55">
        <f t="shared" si="1"/>
        <v>16</v>
      </c>
      <c r="C28" s="55">
        <f t="shared" si="1"/>
        <v>3</v>
      </c>
      <c r="D28" s="55">
        <f t="shared" si="1"/>
        <v>5</v>
      </c>
      <c r="E28" s="60">
        <f t="shared" si="2"/>
        <v>8</v>
      </c>
      <c r="F28" s="61">
        <f t="shared" si="3"/>
        <v>11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</row>
    <row r="29" spans="1:23" x14ac:dyDescent="0.15">
      <c r="A29" s="28" t="s">
        <v>106</v>
      </c>
      <c r="B29" s="55">
        <f t="shared" si="1"/>
        <v>17</v>
      </c>
      <c r="C29" s="55">
        <f t="shared" si="1"/>
        <v>2</v>
      </c>
      <c r="D29" s="55">
        <f>18-D8</f>
        <v>6</v>
      </c>
      <c r="E29" s="60">
        <f t="shared" si="2"/>
        <v>8.3333333333333339</v>
      </c>
      <c r="F29" s="61">
        <f t="shared" si="3"/>
        <v>8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spans="1:23" x14ac:dyDescent="0.15">
      <c r="A30" s="28" t="s">
        <v>107</v>
      </c>
      <c r="B30" s="55">
        <f t="shared" si="1"/>
        <v>4</v>
      </c>
      <c r="C30" s="55">
        <f t="shared" si="1"/>
        <v>7</v>
      </c>
      <c r="D30" s="55">
        <f t="shared" si="1"/>
        <v>12</v>
      </c>
      <c r="E30" s="60">
        <f t="shared" si="2"/>
        <v>7.666666666666667</v>
      </c>
      <c r="F30" s="61">
        <f t="shared" si="3"/>
        <v>13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</row>
    <row r="31" spans="1:23" x14ac:dyDescent="0.15">
      <c r="A31" s="28" t="s">
        <v>108</v>
      </c>
      <c r="B31" s="55">
        <f t="shared" si="1"/>
        <v>12</v>
      </c>
      <c r="C31" s="55">
        <f t="shared" si="1"/>
        <v>8</v>
      </c>
      <c r="D31" s="55">
        <f t="shared" si="1"/>
        <v>16</v>
      </c>
      <c r="E31" s="60">
        <f t="shared" si="2"/>
        <v>12</v>
      </c>
      <c r="F31" s="61">
        <f t="shared" si="3"/>
        <v>1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</row>
    <row r="32" spans="1:23" x14ac:dyDescent="0.15">
      <c r="A32" s="28" t="s">
        <v>109</v>
      </c>
      <c r="B32" s="55">
        <f t="shared" si="1"/>
        <v>14</v>
      </c>
      <c r="C32" s="55">
        <f t="shared" si="1"/>
        <v>9</v>
      </c>
      <c r="D32" s="55">
        <f t="shared" si="1"/>
        <v>2</v>
      </c>
      <c r="E32" s="60">
        <f t="shared" si="2"/>
        <v>8.3333333333333339</v>
      </c>
      <c r="F32" s="61">
        <f t="shared" si="3"/>
        <v>8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spans="1:23" x14ac:dyDescent="0.15">
      <c r="A33" s="28" t="s">
        <v>110</v>
      </c>
      <c r="B33" s="55">
        <f t="shared" si="1"/>
        <v>13</v>
      </c>
      <c r="C33" s="55">
        <f t="shared" si="1"/>
        <v>10</v>
      </c>
      <c r="D33" s="55">
        <f t="shared" si="1"/>
        <v>7</v>
      </c>
      <c r="E33" s="60">
        <f t="shared" si="2"/>
        <v>10</v>
      </c>
      <c r="F33" s="61">
        <f t="shared" si="3"/>
        <v>7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</row>
    <row r="34" spans="1:23" x14ac:dyDescent="0.15">
      <c r="A34" s="28" t="s">
        <v>111</v>
      </c>
      <c r="B34" s="55">
        <f t="shared" si="1"/>
        <v>8</v>
      </c>
      <c r="C34" s="55">
        <f t="shared" si="1"/>
        <v>11</v>
      </c>
      <c r="D34" s="55">
        <f t="shared" si="1"/>
        <v>3</v>
      </c>
      <c r="E34" s="60">
        <f t="shared" si="2"/>
        <v>7.333333333333333</v>
      </c>
      <c r="F34" s="61">
        <f t="shared" si="3"/>
        <v>14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</row>
    <row r="35" spans="1:23" x14ac:dyDescent="0.15">
      <c r="A35" s="28" t="s">
        <v>112</v>
      </c>
      <c r="B35" s="55">
        <f t="shared" si="1"/>
        <v>6</v>
      </c>
      <c r="C35" s="55">
        <f t="shared" si="1"/>
        <v>12</v>
      </c>
      <c r="D35" s="55">
        <f t="shared" si="1"/>
        <v>13</v>
      </c>
      <c r="E35" s="60">
        <f t="shared" si="2"/>
        <v>10.333333333333334</v>
      </c>
      <c r="F35" s="61">
        <f t="shared" si="3"/>
        <v>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</row>
    <row r="36" spans="1:23" x14ac:dyDescent="0.15">
      <c r="A36" s="28" t="s">
        <v>113</v>
      </c>
      <c r="B36" s="55">
        <f t="shared" si="1"/>
        <v>11</v>
      </c>
      <c r="C36" s="55">
        <f t="shared" si="1"/>
        <v>13</v>
      </c>
      <c r="D36" s="55">
        <f t="shared" si="1"/>
        <v>8</v>
      </c>
      <c r="E36" s="60">
        <f t="shared" si="2"/>
        <v>10.666666666666666</v>
      </c>
      <c r="F36" s="61">
        <f t="shared" si="3"/>
        <v>4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</row>
    <row r="37" spans="1:23" x14ac:dyDescent="0.15">
      <c r="A37" s="28" t="s">
        <v>114</v>
      </c>
      <c r="B37" s="55">
        <f t="shared" si="1"/>
        <v>10</v>
      </c>
      <c r="C37" s="55">
        <f t="shared" si="1"/>
        <v>14</v>
      </c>
      <c r="D37" s="55">
        <f t="shared" si="1"/>
        <v>9</v>
      </c>
      <c r="E37" s="60">
        <f t="shared" si="2"/>
        <v>11</v>
      </c>
      <c r="F37" s="61">
        <f t="shared" si="3"/>
        <v>3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 spans="1:23" x14ac:dyDescent="0.15">
      <c r="A38" s="28" t="s">
        <v>115</v>
      </c>
      <c r="B38" s="55">
        <f t="shared" si="1"/>
        <v>7</v>
      </c>
      <c r="C38" s="55">
        <f t="shared" si="1"/>
        <v>15</v>
      </c>
      <c r="D38" s="55">
        <f t="shared" si="1"/>
        <v>10</v>
      </c>
      <c r="E38" s="60">
        <f t="shared" si="2"/>
        <v>10.666666666666666</v>
      </c>
      <c r="F38" s="61">
        <f t="shared" si="3"/>
        <v>4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 spans="1:23" x14ac:dyDescent="0.15">
      <c r="A39" s="28" t="s">
        <v>116</v>
      </c>
      <c r="B39" s="55">
        <f t="shared" si="1"/>
        <v>1</v>
      </c>
      <c r="C39" s="55">
        <f t="shared" si="1"/>
        <v>16</v>
      </c>
      <c r="D39" s="55">
        <f t="shared" si="1"/>
        <v>17</v>
      </c>
      <c r="E39" s="60">
        <f t="shared" si="2"/>
        <v>11.333333333333334</v>
      </c>
      <c r="F39" s="61">
        <f t="shared" si="3"/>
        <v>2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</row>
    <row r="40" spans="1:23" x14ac:dyDescent="0.15">
      <c r="A40" s="28" t="s">
        <v>11</v>
      </c>
      <c r="B40" s="55">
        <f t="shared" si="1"/>
        <v>3</v>
      </c>
      <c r="C40" s="55">
        <f t="shared" si="1"/>
        <v>17</v>
      </c>
      <c r="D40" s="55">
        <f>18-D19</f>
        <v>1</v>
      </c>
      <c r="E40" s="60">
        <f t="shared" si="2"/>
        <v>7</v>
      </c>
      <c r="F40" s="61">
        <f t="shared" si="3"/>
        <v>16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spans="1:23" x14ac:dyDescent="0.1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</row>
    <row r="42" spans="1:23" x14ac:dyDescent="0.1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</row>
    <row r="43" spans="1:23" x14ac:dyDescent="0.1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spans="1:23" x14ac:dyDescent="0.1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</row>
    <row r="45" spans="1:23" x14ac:dyDescent="0.1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</row>
    <row r="46" spans="1:23" x14ac:dyDescent="0.1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 spans="1:23" x14ac:dyDescent="0.1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</row>
    <row r="48" spans="1:23" x14ac:dyDescent="0.1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</row>
    <row r="49" spans="1:23" x14ac:dyDescent="0.1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 spans="1:23" x14ac:dyDescent="0.1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</row>
    <row r="51" spans="1:23" x14ac:dyDescent="0.1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</row>
    <row r="52" spans="1:23" x14ac:dyDescent="0.1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 spans="1:23" x14ac:dyDescent="0.1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</row>
    <row r="54" spans="1:23" x14ac:dyDescent="0.1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</row>
    <row r="55" spans="1:23" x14ac:dyDescent="0.1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spans="1:23" x14ac:dyDescent="0.1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</row>
    <row r="57" spans="1:23" x14ac:dyDescent="0.1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</row>
    <row r="58" spans="1:23" x14ac:dyDescent="0.1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 spans="1:23" x14ac:dyDescent="0.1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</row>
    <row r="60" spans="1:23" x14ac:dyDescent="0.1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</row>
    <row r="61" spans="1:23" x14ac:dyDescent="0.1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 spans="1:23" x14ac:dyDescent="0.1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</row>
    <row r="63" spans="1:23" x14ac:dyDescent="0.1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</row>
    <row r="64" spans="1:23" x14ac:dyDescent="0.1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 spans="1:23" x14ac:dyDescent="0.1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</row>
    <row r="66" spans="1:23" x14ac:dyDescent="0.1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</row>
    <row r="67" spans="1:23" x14ac:dyDescent="0.1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spans="1:23" x14ac:dyDescent="0.1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</row>
    <row r="69" spans="1:23" x14ac:dyDescent="0.1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</row>
    <row r="70" spans="1:23" x14ac:dyDescent="0.1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 spans="1:23" x14ac:dyDescent="0.1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</row>
    <row r="72" spans="1:23" x14ac:dyDescent="0.1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</row>
    <row r="73" spans="1:23" x14ac:dyDescent="0.1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</row>
    <row r="74" spans="1:23" x14ac:dyDescent="0.1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</row>
    <row r="75" spans="1:23" x14ac:dyDescent="0.1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</row>
    <row r="76" spans="1:23" x14ac:dyDescent="0.1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</row>
    <row r="77" spans="1:23" x14ac:dyDescent="0.1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</row>
    <row r="78" spans="1:23" x14ac:dyDescent="0.1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</row>
    <row r="79" spans="1:23" x14ac:dyDescent="0.1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 spans="1:23" x14ac:dyDescent="0.1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</row>
    <row r="81" spans="1:23" x14ac:dyDescent="0.1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</row>
    <row r="82" spans="1:23" x14ac:dyDescent="0.1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</row>
    <row r="83" spans="1:23" x14ac:dyDescent="0.1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</row>
    <row r="84" spans="1:23" x14ac:dyDescent="0.1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</row>
    <row r="85" spans="1:23" x14ac:dyDescent="0.1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</row>
    <row r="86" spans="1:23" x14ac:dyDescent="0.1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</row>
    <row r="87" spans="1:23" x14ac:dyDescent="0.1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</row>
    <row r="88" spans="1:23" x14ac:dyDescent="0.1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</row>
    <row r="89" spans="1:23" x14ac:dyDescent="0.1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</row>
    <row r="90" spans="1:23" x14ac:dyDescent="0.1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</row>
    <row r="91" spans="1:23" x14ac:dyDescent="0.1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 spans="1:23" x14ac:dyDescent="0.1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</row>
    <row r="93" spans="1:23" x14ac:dyDescent="0.1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</row>
    <row r="94" spans="1:23" x14ac:dyDescent="0.1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</row>
    <row r="95" spans="1:23" x14ac:dyDescent="0.1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 spans="1:23" x14ac:dyDescent="0.1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</row>
    <row r="97" spans="1:23" x14ac:dyDescent="0.1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</row>
    <row r="98" spans="1:23" x14ac:dyDescent="0.1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</row>
    <row r="99" spans="1:23" x14ac:dyDescent="0.1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</row>
    <row r="100" spans="1:23" x14ac:dyDescent="0.1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</row>
    <row r="101" spans="1:23" x14ac:dyDescent="0.1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</row>
    <row r="102" spans="1:23" x14ac:dyDescent="0.1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</row>
    <row r="103" spans="1:23" x14ac:dyDescent="0.1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</row>
    <row r="104" spans="1:23" x14ac:dyDescent="0.1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</row>
    <row r="105" spans="1:23" x14ac:dyDescent="0.1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</row>
    <row r="106" spans="1:23" x14ac:dyDescent="0.1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</row>
    <row r="107" spans="1:23" x14ac:dyDescent="0.1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 spans="1:23" x14ac:dyDescent="0.1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 spans="1:23" x14ac:dyDescent="0.1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</row>
    <row r="110" spans="1:23" x14ac:dyDescent="0.1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</row>
    <row r="111" spans="1:23" x14ac:dyDescent="0.1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 spans="1:23" x14ac:dyDescent="0.1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spans="1:23" x14ac:dyDescent="0.1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</row>
    <row r="114" spans="1:23" x14ac:dyDescent="0.1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 spans="1:23" x14ac:dyDescent="0.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 spans="1:23" x14ac:dyDescent="0.1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 spans="1:23" x14ac:dyDescent="0.1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</row>
    <row r="118" spans="1:23" x14ac:dyDescent="0.1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</row>
    <row r="119" spans="1:23" x14ac:dyDescent="0.1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</row>
    <row r="120" spans="1:23" x14ac:dyDescent="0.1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</row>
    <row r="121" spans="1:23" x14ac:dyDescent="0.1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</row>
    <row r="122" spans="1:23" x14ac:dyDescent="0.1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</row>
    <row r="123" spans="1:23" x14ac:dyDescent="0.1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</row>
    <row r="124" spans="1:23" x14ac:dyDescent="0.1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 spans="1:23" x14ac:dyDescent="0.1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 spans="1:23" x14ac:dyDescent="0.1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</row>
    <row r="127" spans="1:23" x14ac:dyDescent="0.1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</row>
    <row r="128" spans="1:23" x14ac:dyDescent="0.1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</row>
    <row r="129" spans="1:23" x14ac:dyDescent="0.1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</row>
    <row r="130" spans="1:23" x14ac:dyDescent="0.1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</row>
    <row r="131" spans="1:23" x14ac:dyDescent="0.1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</row>
    <row r="132" spans="1:23" x14ac:dyDescent="0.1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</row>
    <row r="133" spans="1:23" x14ac:dyDescent="0.1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</row>
    <row r="134" spans="1:23" x14ac:dyDescent="0.1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</row>
    <row r="135" spans="1:23" x14ac:dyDescent="0.1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</row>
    <row r="136" spans="1:23" x14ac:dyDescent="0.1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</row>
    <row r="137" spans="1:23" x14ac:dyDescent="0.1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</row>
    <row r="138" spans="1:23" x14ac:dyDescent="0.1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</row>
    <row r="139" spans="1:23" x14ac:dyDescent="0.1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</row>
    <row r="140" spans="1:23" x14ac:dyDescent="0.1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</row>
    <row r="141" spans="1:23" x14ac:dyDescent="0.1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</row>
    <row r="142" spans="1:23" x14ac:dyDescent="0.1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</row>
    <row r="143" spans="1:23" x14ac:dyDescent="0.1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 spans="1:23" x14ac:dyDescent="0.1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</row>
    <row r="145" spans="1:23" x14ac:dyDescent="0.1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</row>
    <row r="146" spans="1:23" x14ac:dyDescent="0.1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</row>
    <row r="147" spans="1:23" x14ac:dyDescent="0.1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</row>
    <row r="148" spans="1:23" x14ac:dyDescent="0.1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</row>
    <row r="149" spans="1:23" x14ac:dyDescent="0.1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</row>
    <row r="150" spans="1:23" x14ac:dyDescent="0.1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</row>
    <row r="151" spans="1:23" x14ac:dyDescent="0.1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</row>
    <row r="152" spans="1:23" x14ac:dyDescent="0.1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 spans="1:23" x14ac:dyDescent="0.1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</row>
    <row r="154" spans="1:23" x14ac:dyDescent="0.1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</row>
    <row r="155" spans="1:23" x14ac:dyDescent="0.1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</row>
    <row r="156" spans="1:23" x14ac:dyDescent="0.1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</row>
    <row r="157" spans="1:23" x14ac:dyDescent="0.1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</row>
    <row r="158" spans="1:23" x14ac:dyDescent="0.1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</row>
    <row r="159" spans="1:23" x14ac:dyDescent="0.1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</row>
    <row r="160" spans="1:23" x14ac:dyDescent="0.1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</row>
    <row r="161" spans="1:23" x14ac:dyDescent="0.1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</row>
    <row r="162" spans="1:23" x14ac:dyDescent="0.1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</row>
    <row r="163" spans="1:23" x14ac:dyDescent="0.1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</row>
    <row r="164" spans="1:23" x14ac:dyDescent="0.1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</row>
    <row r="165" spans="1:23" x14ac:dyDescent="0.1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</row>
    <row r="166" spans="1:23" x14ac:dyDescent="0.1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</row>
    <row r="167" spans="1:23" x14ac:dyDescent="0.1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</row>
    <row r="168" spans="1:23" x14ac:dyDescent="0.1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</row>
    <row r="169" spans="1:23" x14ac:dyDescent="0.1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</row>
    <row r="170" spans="1:23" x14ac:dyDescent="0.1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</row>
    <row r="171" spans="1:23" x14ac:dyDescent="0.1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</row>
    <row r="172" spans="1:23" x14ac:dyDescent="0.1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</row>
    <row r="173" spans="1:23" x14ac:dyDescent="0.1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</row>
    <row r="174" spans="1:23" x14ac:dyDescent="0.1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</row>
    <row r="175" spans="1:23" x14ac:dyDescent="0.1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</row>
    <row r="176" spans="1:23" x14ac:dyDescent="0.1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</row>
    <row r="177" spans="1:23" x14ac:dyDescent="0.1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</row>
    <row r="178" spans="1:23" x14ac:dyDescent="0.1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</row>
    <row r="179" spans="1:23" x14ac:dyDescent="0.1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</row>
    <row r="180" spans="1:23" x14ac:dyDescent="0.1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</row>
    <row r="181" spans="1:23" x14ac:dyDescent="0.1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</row>
    <row r="182" spans="1:23" x14ac:dyDescent="0.1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</row>
    <row r="183" spans="1:23" x14ac:dyDescent="0.1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</row>
    <row r="184" spans="1:23" x14ac:dyDescent="0.1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</row>
    <row r="185" spans="1:23" x14ac:dyDescent="0.1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</row>
    <row r="186" spans="1:23" x14ac:dyDescent="0.1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</row>
    <row r="187" spans="1:23" x14ac:dyDescent="0.1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</row>
    <row r="188" spans="1:23" x14ac:dyDescent="0.1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</row>
    <row r="189" spans="1:23" x14ac:dyDescent="0.1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</row>
    <row r="190" spans="1:23" x14ac:dyDescent="0.1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</row>
    <row r="191" spans="1:23" x14ac:dyDescent="0.1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 spans="1:23" x14ac:dyDescent="0.1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</row>
    <row r="193" spans="1:23" x14ac:dyDescent="0.1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</row>
    <row r="194" spans="1:23" x14ac:dyDescent="0.1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</row>
    <row r="195" spans="1:23" x14ac:dyDescent="0.1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</row>
    <row r="196" spans="1:23" x14ac:dyDescent="0.1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</row>
    <row r="197" spans="1:23" x14ac:dyDescent="0.1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</row>
    <row r="198" spans="1:23" x14ac:dyDescent="0.1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</row>
    <row r="199" spans="1:23" x14ac:dyDescent="0.1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</row>
    <row r="200" spans="1:23" x14ac:dyDescent="0.1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</row>
    <row r="201" spans="1:23" x14ac:dyDescent="0.1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</row>
    <row r="202" spans="1:23" x14ac:dyDescent="0.1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</row>
    <row r="203" spans="1:23" x14ac:dyDescent="0.1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</row>
    <row r="204" spans="1:23" x14ac:dyDescent="0.1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</row>
    <row r="205" spans="1:23" x14ac:dyDescent="0.1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</row>
    <row r="206" spans="1:23" x14ac:dyDescent="0.1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</row>
    <row r="207" spans="1:23" x14ac:dyDescent="0.1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</row>
    <row r="208" spans="1:23" x14ac:dyDescent="0.1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</row>
    <row r="209" spans="1:23" x14ac:dyDescent="0.1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</row>
    <row r="210" spans="1:23" x14ac:dyDescent="0.1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</row>
    <row r="211" spans="1:23" x14ac:dyDescent="0.1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</row>
    <row r="212" spans="1:23" x14ac:dyDescent="0.1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</row>
    <row r="213" spans="1:23" x14ac:dyDescent="0.1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</row>
    <row r="214" spans="1:23" x14ac:dyDescent="0.1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</row>
    <row r="215" spans="1:23" x14ac:dyDescent="0.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</row>
    <row r="216" spans="1:23" x14ac:dyDescent="0.1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</row>
    <row r="217" spans="1:23" x14ac:dyDescent="0.1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</row>
    <row r="218" spans="1:23" x14ac:dyDescent="0.1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</row>
    <row r="219" spans="1:23" x14ac:dyDescent="0.1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</row>
    <row r="220" spans="1:23" x14ac:dyDescent="0.1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</row>
    <row r="221" spans="1:23" x14ac:dyDescent="0.1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</row>
    <row r="222" spans="1:23" x14ac:dyDescent="0.1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</row>
    <row r="223" spans="1:23" x14ac:dyDescent="0.1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</row>
    <row r="224" spans="1:23" x14ac:dyDescent="0.1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</row>
    <row r="225" spans="1:23" x14ac:dyDescent="0.1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</row>
    <row r="226" spans="1:23" x14ac:dyDescent="0.1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</row>
    <row r="227" spans="1:23" x14ac:dyDescent="0.1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 spans="1:23" x14ac:dyDescent="0.1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 spans="1:23" x14ac:dyDescent="0.1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 spans="1:23" x14ac:dyDescent="0.1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 spans="1:23" x14ac:dyDescent="0.1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 spans="1:23" x14ac:dyDescent="0.1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 spans="1:23" x14ac:dyDescent="0.1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 spans="1:23" x14ac:dyDescent="0.1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 spans="1:23" x14ac:dyDescent="0.1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 spans="1:23" x14ac:dyDescent="0.1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 spans="1:23" x14ac:dyDescent="0.1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 spans="1:23" x14ac:dyDescent="0.1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</row>
    <row r="239" spans="1:23" x14ac:dyDescent="0.1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</row>
    <row r="240" spans="1:23" x14ac:dyDescent="0.1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</row>
    <row r="241" spans="1:23" x14ac:dyDescent="0.1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</row>
    <row r="242" spans="1:23" x14ac:dyDescent="0.1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 spans="1:23" x14ac:dyDescent="0.1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 spans="1:23" x14ac:dyDescent="0.1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 spans="1:23" x14ac:dyDescent="0.1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 spans="1:23" x14ac:dyDescent="0.1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 spans="1:23" x14ac:dyDescent="0.1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 spans="1:23" x14ac:dyDescent="0.1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 spans="1:23" x14ac:dyDescent="0.1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 spans="1:23" x14ac:dyDescent="0.1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 spans="1:23" x14ac:dyDescent="0.1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 spans="1:23" x14ac:dyDescent="0.1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 spans="1:23" x14ac:dyDescent="0.1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 spans="1:23" x14ac:dyDescent="0.1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 spans="1:23" x14ac:dyDescent="0.1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 spans="1:23" x14ac:dyDescent="0.1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 spans="1:23" x14ac:dyDescent="0.1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 spans="1:23" x14ac:dyDescent="0.1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 spans="1:23" x14ac:dyDescent="0.1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 spans="1:23" x14ac:dyDescent="0.1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 spans="1:23" x14ac:dyDescent="0.1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 spans="1:23" x14ac:dyDescent="0.1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 spans="1:23" x14ac:dyDescent="0.1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 spans="1:23" x14ac:dyDescent="0.1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 spans="1:23" x14ac:dyDescent="0.1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</row>
    <row r="266" spans="1:23" x14ac:dyDescent="0.1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</row>
    <row r="267" spans="1:23" x14ac:dyDescent="0.1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</row>
    <row r="268" spans="1:23" x14ac:dyDescent="0.1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</row>
    <row r="269" spans="1:23" x14ac:dyDescent="0.1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 spans="1:23" x14ac:dyDescent="0.1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 spans="1:23" x14ac:dyDescent="0.1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 spans="1:23" x14ac:dyDescent="0.1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 spans="1:23" x14ac:dyDescent="0.1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 spans="1:23" x14ac:dyDescent="0.1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 spans="1:23" x14ac:dyDescent="0.1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 spans="1:23" x14ac:dyDescent="0.1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 spans="1:23" x14ac:dyDescent="0.1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 spans="1:23" x14ac:dyDescent="0.1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 spans="1:23" x14ac:dyDescent="0.1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 spans="1:23" x14ac:dyDescent="0.1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 spans="1:23" x14ac:dyDescent="0.1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 spans="1:23" x14ac:dyDescent="0.1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 spans="1:23" x14ac:dyDescent="0.1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 spans="1:23" x14ac:dyDescent="0.1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</row>
    <row r="285" spans="1:23" x14ac:dyDescent="0.1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</row>
    <row r="286" spans="1:23" x14ac:dyDescent="0.1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</row>
    <row r="287" spans="1:23" x14ac:dyDescent="0.1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 spans="1:23" x14ac:dyDescent="0.1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</row>
    <row r="289" spans="1:23" x14ac:dyDescent="0.1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</row>
    <row r="290" spans="1:23" x14ac:dyDescent="0.1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</row>
    <row r="291" spans="1:23" x14ac:dyDescent="0.1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</row>
    <row r="292" spans="1:23" x14ac:dyDescent="0.1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</row>
    <row r="293" spans="1:23" x14ac:dyDescent="0.1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</row>
    <row r="294" spans="1:23" x14ac:dyDescent="0.1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</row>
    <row r="295" spans="1:23" x14ac:dyDescent="0.1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</row>
    <row r="296" spans="1:23" x14ac:dyDescent="0.1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</row>
    <row r="297" spans="1:23" x14ac:dyDescent="0.1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</row>
    <row r="298" spans="1:23" x14ac:dyDescent="0.1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</row>
    <row r="299" spans="1:23" x14ac:dyDescent="0.1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</row>
    <row r="300" spans="1:23" x14ac:dyDescent="0.1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</row>
    <row r="301" spans="1:23" x14ac:dyDescent="0.1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</row>
    <row r="302" spans="1:23" x14ac:dyDescent="0.1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</row>
    <row r="303" spans="1:23" x14ac:dyDescent="0.1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</row>
    <row r="304" spans="1:23" x14ac:dyDescent="0.1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</row>
    <row r="305" spans="1:23" x14ac:dyDescent="0.1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</row>
    <row r="306" spans="1:23" x14ac:dyDescent="0.1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</row>
    <row r="307" spans="1:23" x14ac:dyDescent="0.1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</row>
    <row r="308" spans="1:23" x14ac:dyDescent="0.1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</row>
    <row r="309" spans="1:23" x14ac:dyDescent="0.1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</row>
    <row r="310" spans="1:23" x14ac:dyDescent="0.1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</row>
    <row r="311" spans="1:23" x14ac:dyDescent="0.1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</row>
    <row r="312" spans="1:23" x14ac:dyDescent="0.1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</row>
    <row r="313" spans="1:23" x14ac:dyDescent="0.1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</row>
    <row r="314" spans="1:23" x14ac:dyDescent="0.1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</row>
    <row r="315" spans="1:23" x14ac:dyDescent="0.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</row>
    <row r="316" spans="1:23" x14ac:dyDescent="0.1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</row>
    <row r="317" spans="1:23" x14ac:dyDescent="0.1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</row>
    <row r="318" spans="1:23" x14ac:dyDescent="0.1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</row>
    <row r="319" spans="1:23" x14ac:dyDescent="0.1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</row>
    <row r="320" spans="1:23" x14ac:dyDescent="0.1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</row>
    <row r="321" spans="1:23" x14ac:dyDescent="0.1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</row>
    <row r="322" spans="1:23" x14ac:dyDescent="0.1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</row>
    <row r="323" spans="1:23" x14ac:dyDescent="0.1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</row>
    <row r="324" spans="1:23" x14ac:dyDescent="0.1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</row>
    <row r="325" spans="1:23" x14ac:dyDescent="0.1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</row>
    <row r="326" spans="1:23" x14ac:dyDescent="0.1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</row>
    <row r="327" spans="1:23" x14ac:dyDescent="0.1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</row>
    <row r="328" spans="1:23" x14ac:dyDescent="0.1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</row>
    <row r="329" spans="1:23" x14ac:dyDescent="0.1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</row>
    <row r="330" spans="1:23" x14ac:dyDescent="0.1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</row>
    <row r="331" spans="1:23" x14ac:dyDescent="0.1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</row>
    <row r="332" spans="1:23" x14ac:dyDescent="0.1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</row>
    <row r="333" spans="1:23" x14ac:dyDescent="0.1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</row>
    <row r="334" spans="1:23" x14ac:dyDescent="0.1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</row>
    <row r="335" spans="1:23" x14ac:dyDescent="0.1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</row>
    <row r="336" spans="1:23" x14ac:dyDescent="0.1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</row>
    <row r="337" spans="1:23" x14ac:dyDescent="0.1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</row>
    <row r="338" spans="1:23" x14ac:dyDescent="0.1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</row>
    <row r="339" spans="1:23" x14ac:dyDescent="0.1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</row>
    <row r="340" spans="1:23" x14ac:dyDescent="0.1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</row>
    <row r="341" spans="1:23" x14ac:dyDescent="0.1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</row>
    <row r="342" spans="1:23" x14ac:dyDescent="0.1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</row>
    <row r="343" spans="1:23" x14ac:dyDescent="0.1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</row>
    <row r="344" spans="1:23" x14ac:dyDescent="0.1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</row>
    <row r="345" spans="1:23" x14ac:dyDescent="0.1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</row>
    <row r="346" spans="1:23" x14ac:dyDescent="0.1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</row>
    <row r="347" spans="1:23" x14ac:dyDescent="0.1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</row>
    <row r="348" spans="1:23" x14ac:dyDescent="0.1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</row>
    <row r="349" spans="1:23" x14ac:dyDescent="0.1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</row>
    <row r="350" spans="1:23" x14ac:dyDescent="0.1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</row>
    <row r="351" spans="1:23" x14ac:dyDescent="0.1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</row>
    <row r="352" spans="1:23" x14ac:dyDescent="0.1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</row>
    <row r="353" spans="1:23" x14ac:dyDescent="0.1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</row>
    <row r="354" spans="1:23" x14ac:dyDescent="0.1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</row>
    <row r="355" spans="1:23" x14ac:dyDescent="0.1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</row>
    <row r="356" spans="1:23" x14ac:dyDescent="0.1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</row>
    <row r="357" spans="1:23" x14ac:dyDescent="0.1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</row>
    <row r="358" spans="1:23" x14ac:dyDescent="0.1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</row>
    <row r="359" spans="1:23" x14ac:dyDescent="0.1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</row>
    <row r="360" spans="1:23" x14ac:dyDescent="0.1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</row>
    <row r="361" spans="1:23" x14ac:dyDescent="0.1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</row>
    <row r="362" spans="1:23" x14ac:dyDescent="0.1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</row>
    <row r="363" spans="1:23" x14ac:dyDescent="0.1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</row>
    <row r="364" spans="1:23" x14ac:dyDescent="0.1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</row>
    <row r="365" spans="1:23" x14ac:dyDescent="0.1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</row>
    <row r="366" spans="1:23" x14ac:dyDescent="0.1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</row>
    <row r="367" spans="1:23" x14ac:dyDescent="0.1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</row>
    <row r="368" spans="1:23" x14ac:dyDescent="0.1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</row>
    <row r="369" spans="1:23" x14ac:dyDescent="0.1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</row>
    <row r="370" spans="1:23" x14ac:dyDescent="0.1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</row>
    <row r="371" spans="1:23" x14ac:dyDescent="0.1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</row>
    <row r="372" spans="1:23" x14ac:dyDescent="0.1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</row>
    <row r="373" spans="1:23" x14ac:dyDescent="0.1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</row>
    <row r="374" spans="1:23" x14ac:dyDescent="0.1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</row>
    <row r="375" spans="1:23" x14ac:dyDescent="0.1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</row>
    <row r="376" spans="1:23" x14ac:dyDescent="0.1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</row>
    <row r="377" spans="1:23" x14ac:dyDescent="0.1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</row>
    <row r="378" spans="1:23" x14ac:dyDescent="0.1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</row>
    <row r="379" spans="1:23" x14ac:dyDescent="0.1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</row>
    <row r="380" spans="1:23" x14ac:dyDescent="0.1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</row>
    <row r="381" spans="1:23" x14ac:dyDescent="0.1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</row>
    <row r="382" spans="1:23" x14ac:dyDescent="0.1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</row>
    <row r="383" spans="1:23" x14ac:dyDescent="0.1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</row>
    <row r="384" spans="1:23" x14ac:dyDescent="0.1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</row>
    <row r="385" spans="1:23" x14ac:dyDescent="0.1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</row>
    <row r="386" spans="1:23" x14ac:dyDescent="0.1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</row>
    <row r="387" spans="1:23" x14ac:dyDescent="0.1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</row>
    <row r="388" spans="1:23" x14ac:dyDescent="0.1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</row>
    <row r="389" spans="1:23" x14ac:dyDescent="0.1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</row>
    <row r="390" spans="1:23" x14ac:dyDescent="0.1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</row>
    <row r="391" spans="1:23" x14ac:dyDescent="0.1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</row>
    <row r="392" spans="1:23" x14ac:dyDescent="0.1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</row>
    <row r="393" spans="1:23" x14ac:dyDescent="0.1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</row>
    <row r="394" spans="1:23" x14ac:dyDescent="0.1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</row>
    <row r="395" spans="1:23" x14ac:dyDescent="0.1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</row>
    <row r="396" spans="1:23" x14ac:dyDescent="0.1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</row>
    <row r="397" spans="1:23" x14ac:dyDescent="0.1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</row>
    <row r="398" spans="1:23" x14ac:dyDescent="0.1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</row>
    <row r="399" spans="1:23" x14ac:dyDescent="0.1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</row>
    <row r="400" spans="1:23" x14ac:dyDescent="0.1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</row>
    <row r="401" spans="1:23" x14ac:dyDescent="0.1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</row>
    <row r="402" spans="1:23" x14ac:dyDescent="0.1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</row>
    <row r="403" spans="1:23" x14ac:dyDescent="0.1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</row>
    <row r="404" spans="1:23" x14ac:dyDescent="0.1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</row>
    <row r="405" spans="1:23" x14ac:dyDescent="0.1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</row>
    <row r="406" spans="1:23" x14ac:dyDescent="0.1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</row>
    <row r="407" spans="1:23" x14ac:dyDescent="0.1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</row>
    <row r="408" spans="1:23" x14ac:dyDescent="0.1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</row>
    <row r="409" spans="1:23" x14ac:dyDescent="0.1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</row>
    <row r="410" spans="1:23" x14ac:dyDescent="0.1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</row>
    <row r="411" spans="1:23" x14ac:dyDescent="0.1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</row>
    <row r="412" spans="1:23" x14ac:dyDescent="0.1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</row>
    <row r="413" spans="1:23" x14ac:dyDescent="0.1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</row>
    <row r="414" spans="1:23" x14ac:dyDescent="0.1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</row>
    <row r="415" spans="1:23" x14ac:dyDescent="0.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</row>
    <row r="416" spans="1:23" x14ac:dyDescent="0.1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</row>
    <row r="417" spans="1:23" x14ac:dyDescent="0.1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</row>
    <row r="418" spans="1:23" x14ac:dyDescent="0.1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</row>
    <row r="419" spans="1:23" x14ac:dyDescent="0.1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</row>
    <row r="420" spans="1:23" x14ac:dyDescent="0.1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</row>
    <row r="421" spans="1:23" x14ac:dyDescent="0.1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</row>
    <row r="422" spans="1:23" x14ac:dyDescent="0.1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</row>
    <row r="423" spans="1:23" x14ac:dyDescent="0.1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</row>
    <row r="424" spans="1:23" x14ac:dyDescent="0.1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</row>
    <row r="425" spans="1:23" x14ac:dyDescent="0.1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</row>
    <row r="426" spans="1:23" x14ac:dyDescent="0.1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</row>
    <row r="427" spans="1:23" x14ac:dyDescent="0.1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</row>
    <row r="428" spans="1:23" x14ac:dyDescent="0.1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</row>
    <row r="429" spans="1:23" x14ac:dyDescent="0.1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</row>
    <row r="430" spans="1:23" x14ac:dyDescent="0.1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</row>
    <row r="431" spans="1:23" x14ac:dyDescent="0.1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</row>
    <row r="432" spans="1:23" x14ac:dyDescent="0.1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</row>
    <row r="433" spans="1:23" x14ac:dyDescent="0.1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</row>
    <row r="434" spans="1:23" x14ac:dyDescent="0.1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</row>
    <row r="435" spans="1:23" x14ac:dyDescent="0.1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</row>
    <row r="436" spans="1:23" x14ac:dyDescent="0.1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</row>
    <row r="437" spans="1:23" x14ac:dyDescent="0.1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</row>
    <row r="438" spans="1:23" x14ac:dyDescent="0.1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</row>
    <row r="439" spans="1:23" x14ac:dyDescent="0.1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</row>
    <row r="440" spans="1:23" x14ac:dyDescent="0.1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</row>
    <row r="441" spans="1:23" x14ac:dyDescent="0.1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</row>
    <row r="442" spans="1:23" x14ac:dyDescent="0.1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</row>
    <row r="443" spans="1:23" x14ac:dyDescent="0.1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</row>
    <row r="444" spans="1:23" x14ac:dyDescent="0.1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</row>
    <row r="445" spans="1:23" x14ac:dyDescent="0.1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</row>
    <row r="446" spans="1:23" x14ac:dyDescent="0.1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</row>
    <row r="447" spans="1:23" x14ac:dyDescent="0.1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</row>
    <row r="448" spans="1:23" x14ac:dyDescent="0.1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</row>
    <row r="449" spans="1:23" x14ac:dyDescent="0.1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</row>
    <row r="450" spans="1:23" x14ac:dyDescent="0.1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</row>
    <row r="451" spans="1:23" x14ac:dyDescent="0.1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</row>
    <row r="452" spans="1:23" x14ac:dyDescent="0.1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</row>
    <row r="453" spans="1:23" x14ac:dyDescent="0.1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</row>
    <row r="454" spans="1:23" x14ac:dyDescent="0.1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</row>
    <row r="455" spans="1:23" x14ac:dyDescent="0.1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</row>
    <row r="456" spans="1:23" x14ac:dyDescent="0.1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</row>
    <row r="457" spans="1:23" x14ac:dyDescent="0.1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</row>
    <row r="458" spans="1:23" x14ac:dyDescent="0.1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</row>
    <row r="459" spans="1:23" x14ac:dyDescent="0.1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</row>
    <row r="460" spans="1:23" x14ac:dyDescent="0.1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</row>
    <row r="461" spans="1:23" x14ac:dyDescent="0.1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</row>
    <row r="462" spans="1:23" x14ac:dyDescent="0.1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</row>
    <row r="463" spans="1:23" x14ac:dyDescent="0.1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</row>
    <row r="464" spans="1:23" x14ac:dyDescent="0.1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</row>
    <row r="465" spans="1:23" x14ac:dyDescent="0.1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</row>
    <row r="466" spans="1:23" x14ac:dyDescent="0.1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</row>
    <row r="467" spans="1:23" x14ac:dyDescent="0.1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</row>
    <row r="468" spans="1:23" x14ac:dyDescent="0.1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</row>
    <row r="469" spans="1:23" x14ac:dyDescent="0.1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</row>
    <row r="470" spans="1:23" x14ac:dyDescent="0.1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</row>
    <row r="471" spans="1:23" x14ac:dyDescent="0.1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</row>
    <row r="472" spans="1:23" x14ac:dyDescent="0.1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</row>
    <row r="473" spans="1:23" x14ac:dyDescent="0.1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</row>
    <row r="474" spans="1:23" x14ac:dyDescent="0.1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</row>
    <row r="475" spans="1:23" x14ac:dyDescent="0.1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</row>
    <row r="476" spans="1:23" x14ac:dyDescent="0.1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</row>
    <row r="477" spans="1:23" x14ac:dyDescent="0.1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</row>
    <row r="478" spans="1:23" x14ac:dyDescent="0.1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</row>
    <row r="479" spans="1:23" x14ac:dyDescent="0.1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</row>
    <row r="480" spans="1:23" x14ac:dyDescent="0.1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</row>
    <row r="481" spans="1:23" x14ac:dyDescent="0.1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</row>
    <row r="482" spans="1:23" x14ac:dyDescent="0.1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</row>
    <row r="483" spans="1:23" x14ac:dyDescent="0.1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</row>
    <row r="484" spans="1:23" x14ac:dyDescent="0.1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</row>
    <row r="485" spans="1:23" x14ac:dyDescent="0.1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</row>
    <row r="486" spans="1:23" x14ac:dyDescent="0.1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</row>
    <row r="487" spans="1:23" x14ac:dyDescent="0.1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</row>
    <row r="488" spans="1:23" x14ac:dyDescent="0.1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</row>
    <row r="489" spans="1:23" x14ac:dyDescent="0.1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</row>
    <row r="490" spans="1:23" x14ac:dyDescent="0.1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</row>
    <row r="491" spans="1:23" x14ac:dyDescent="0.1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</row>
    <row r="492" spans="1:23" x14ac:dyDescent="0.1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</row>
    <row r="493" spans="1:23" x14ac:dyDescent="0.1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</row>
    <row r="494" spans="1:23" x14ac:dyDescent="0.1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</row>
    <row r="495" spans="1:23" x14ac:dyDescent="0.1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</row>
    <row r="496" spans="1:23" x14ac:dyDescent="0.1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</row>
    <row r="497" spans="1:23" x14ac:dyDescent="0.1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</row>
    <row r="498" spans="1:23" x14ac:dyDescent="0.1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</row>
    <row r="499" spans="1:23" x14ac:dyDescent="0.1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</row>
    <row r="500" spans="1:23" x14ac:dyDescent="0.1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</row>
    <row r="501" spans="1:23" x14ac:dyDescent="0.1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</row>
    <row r="502" spans="1:23" x14ac:dyDescent="0.1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</row>
    <row r="503" spans="1:23" x14ac:dyDescent="0.1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</row>
    <row r="504" spans="1:23" x14ac:dyDescent="0.1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</row>
    <row r="505" spans="1:23" x14ac:dyDescent="0.1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</row>
    <row r="506" spans="1:23" x14ac:dyDescent="0.1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</row>
    <row r="507" spans="1:23" x14ac:dyDescent="0.1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</row>
    <row r="508" spans="1:23" x14ac:dyDescent="0.1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</row>
    <row r="509" spans="1:23" x14ac:dyDescent="0.1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</row>
    <row r="510" spans="1:23" x14ac:dyDescent="0.1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</row>
    <row r="511" spans="1:23" x14ac:dyDescent="0.1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</row>
    <row r="512" spans="1:23" x14ac:dyDescent="0.1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</row>
    <row r="513" spans="1:23" x14ac:dyDescent="0.1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</row>
    <row r="514" spans="1:23" x14ac:dyDescent="0.1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</row>
    <row r="515" spans="1:23" x14ac:dyDescent="0.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</row>
    <row r="516" spans="1:23" x14ac:dyDescent="0.1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</row>
    <row r="517" spans="1:23" x14ac:dyDescent="0.1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</row>
    <row r="518" spans="1:23" x14ac:dyDescent="0.1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</row>
    <row r="519" spans="1:23" x14ac:dyDescent="0.1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</row>
    <row r="520" spans="1:23" x14ac:dyDescent="0.1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</row>
    <row r="521" spans="1:23" x14ac:dyDescent="0.1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</row>
    <row r="522" spans="1:23" x14ac:dyDescent="0.1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</row>
    <row r="523" spans="1:23" x14ac:dyDescent="0.1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</row>
    <row r="524" spans="1:23" x14ac:dyDescent="0.1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</row>
    <row r="525" spans="1:23" x14ac:dyDescent="0.1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</row>
    <row r="526" spans="1:23" x14ac:dyDescent="0.1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</row>
    <row r="527" spans="1:23" x14ac:dyDescent="0.1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</row>
    <row r="528" spans="1:23" x14ac:dyDescent="0.1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</row>
    <row r="529" spans="1:23" x14ac:dyDescent="0.1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</row>
    <row r="530" spans="1:23" x14ac:dyDescent="0.1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</row>
    <row r="531" spans="1:23" x14ac:dyDescent="0.1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</row>
    <row r="532" spans="1:23" x14ac:dyDescent="0.1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</row>
    <row r="533" spans="1:23" x14ac:dyDescent="0.1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</row>
    <row r="534" spans="1:23" x14ac:dyDescent="0.1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</row>
    <row r="535" spans="1:23" x14ac:dyDescent="0.1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</row>
    <row r="536" spans="1:23" x14ac:dyDescent="0.1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</row>
    <row r="537" spans="1:23" x14ac:dyDescent="0.1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</row>
    <row r="538" spans="1:23" x14ac:dyDescent="0.1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</row>
    <row r="539" spans="1:23" x14ac:dyDescent="0.1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</row>
    <row r="540" spans="1:23" x14ac:dyDescent="0.1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</row>
    <row r="541" spans="1:23" x14ac:dyDescent="0.1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</row>
    <row r="542" spans="1:23" x14ac:dyDescent="0.1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</row>
    <row r="543" spans="1:23" x14ac:dyDescent="0.1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</row>
    <row r="544" spans="1:23" x14ac:dyDescent="0.1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</row>
    <row r="545" spans="1:23" x14ac:dyDescent="0.1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</row>
    <row r="546" spans="1:23" x14ac:dyDescent="0.1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</row>
    <row r="547" spans="1:23" x14ac:dyDescent="0.1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</row>
    <row r="548" spans="1:23" x14ac:dyDescent="0.1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</row>
    <row r="549" spans="1:23" x14ac:dyDescent="0.1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</row>
    <row r="550" spans="1:23" x14ac:dyDescent="0.1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</row>
    <row r="551" spans="1:23" x14ac:dyDescent="0.1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</row>
    <row r="552" spans="1:23" x14ac:dyDescent="0.1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</row>
    <row r="553" spans="1:23" x14ac:dyDescent="0.1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</row>
    <row r="554" spans="1:23" x14ac:dyDescent="0.1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</row>
    <row r="555" spans="1:23" x14ac:dyDescent="0.1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</row>
    <row r="556" spans="1:23" x14ac:dyDescent="0.1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</row>
    <row r="557" spans="1:23" x14ac:dyDescent="0.1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</row>
    <row r="558" spans="1:23" x14ac:dyDescent="0.1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</row>
    <row r="559" spans="1:23" x14ac:dyDescent="0.1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</row>
    <row r="560" spans="1:23" x14ac:dyDescent="0.1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</row>
    <row r="561" spans="1:23" x14ac:dyDescent="0.1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</row>
    <row r="562" spans="1:23" x14ac:dyDescent="0.1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</row>
    <row r="563" spans="1:23" x14ac:dyDescent="0.1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</row>
    <row r="564" spans="1:23" x14ac:dyDescent="0.1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</row>
    <row r="565" spans="1:23" x14ac:dyDescent="0.1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</row>
    <row r="566" spans="1:23" x14ac:dyDescent="0.1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</row>
    <row r="567" spans="1:23" x14ac:dyDescent="0.1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</row>
    <row r="568" spans="1:23" x14ac:dyDescent="0.1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</row>
    <row r="569" spans="1:23" x14ac:dyDescent="0.1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</row>
    <row r="570" spans="1:23" x14ac:dyDescent="0.1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</row>
    <row r="571" spans="1:23" x14ac:dyDescent="0.1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</row>
    <row r="572" spans="1:23" x14ac:dyDescent="0.1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</row>
    <row r="573" spans="1:23" x14ac:dyDescent="0.1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</row>
    <row r="574" spans="1:23" x14ac:dyDescent="0.1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</row>
    <row r="575" spans="1:23" x14ac:dyDescent="0.1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</row>
    <row r="576" spans="1:23" x14ac:dyDescent="0.1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</row>
    <row r="577" spans="1:23" x14ac:dyDescent="0.1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</row>
    <row r="578" spans="1:23" x14ac:dyDescent="0.1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</row>
    <row r="579" spans="1:23" x14ac:dyDescent="0.1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</row>
    <row r="580" spans="1:23" x14ac:dyDescent="0.1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</row>
    <row r="581" spans="1:23" x14ac:dyDescent="0.1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</row>
    <row r="582" spans="1:23" x14ac:dyDescent="0.1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</row>
    <row r="583" spans="1:23" x14ac:dyDescent="0.1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</row>
    <row r="584" spans="1:23" x14ac:dyDescent="0.1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</row>
    <row r="585" spans="1:23" x14ac:dyDescent="0.1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</row>
    <row r="586" spans="1:23" x14ac:dyDescent="0.1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</row>
    <row r="587" spans="1:23" x14ac:dyDescent="0.1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</row>
    <row r="588" spans="1:23" x14ac:dyDescent="0.1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</row>
    <row r="589" spans="1:23" x14ac:dyDescent="0.1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</row>
    <row r="590" spans="1:23" x14ac:dyDescent="0.1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</row>
    <row r="591" spans="1:23" x14ac:dyDescent="0.1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</row>
    <row r="592" spans="1:23" x14ac:dyDescent="0.1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</row>
    <row r="593" spans="1:23" x14ac:dyDescent="0.1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</row>
    <row r="594" spans="1:23" x14ac:dyDescent="0.1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</row>
    <row r="595" spans="1:23" x14ac:dyDescent="0.1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</row>
    <row r="596" spans="1:23" x14ac:dyDescent="0.1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</row>
    <row r="597" spans="1:23" x14ac:dyDescent="0.1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</row>
    <row r="598" spans="1:23" x14ac:dyDescent="0.1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</row>
    <row r="599" spans="1:23" x14ac:dyDescent="0.1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</row>
    <row r="600" spans="1:23" x14ac:dyDescent="0.1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</row>
    <row r="601" spans="1:23" x14ac:dyDescent="0.1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</row>
    <row r="602" spans="1:23" x14ac:dyDescent="0.1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</row>
    <row r="603" spans="1:23" x14ac:dyDescent="0.1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</row>
    <row r="604" spans="1:23" x14ac:dyDescent="0.1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</row>
    <row r="605" spans="1:23" x14ac:dyDescent="0.1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</row>
    <row r="606" spans="1:23" x14ac:dyDescent="0.1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</row>
    <row r="607" spans="1:23" x14ac:dyDescent="0.1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</row>
    <row r="608" spans="1:23" x14ac:dyDescent="0.1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</row>
    <row r="609" spans="1:23" x14ac:dyDescent="0.1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</row>
    <row r="610" spans="1:23" x14ac:dyDescent="0.1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</row>
    <row r="611" spans="1:23" x14ac:dyDescent="0.1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</row>
    <row r="612" spans="1:23" x14ac:dyDescent="0.1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</row>
    <row r="613" spans="1:23" x14ac:dyDescent="0.1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</row>
    <row r="614" spans="1:23" x14ac:dyDescent="0.1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</row>
    <row r="615" spans="1:23" x14ac:dyDescent="0.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</row>
    <row r="616" spans="1:23" x14ac:dyDescent="0.1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</row>
    <row r="617" spans="1:23" x14ac:dyDescent="0.1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</row>
    <row r="618" spans="1:23" x14ac:dyDescent="0.1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</row>
    <row r="619" spans="1:23" x14ac:dyDescent="0.1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</row>
    <row r="620" spans="1:23" x14ac:dyDescent="0.1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</row>
    <row r="621" spans="1:23" x14ac:dyDescent="0.1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</row>
    <row r="622" spans="1:23" x14ac:dyDescent="0.1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</row>
    <row r="623" spans="1:23" x14ac:dyDescent="0.1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</row>
    <row r="624" spans="1:23" x14ac:dyDescent="0.1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</row>
    <row r="625" spans="1:23" x14ac:dyDescent="0.1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</row>
    <row r="626" spans="1:23" x14ac:dyDescent="0.1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</row>
    <row r="627" spans="1:23" x14ac:dyDescent="0.1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</row>
    <row r="628" spans="1:23" x14ac:dyDescent="0.1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</row>
    <row r="629" spans="1:23" x14ac:dyDescent="0.1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</row>
    <row r="630" spans="1:23" x14ac:dyDescent="0.1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</row>
    <row r="631" spans="1:23" x14ac:dyDescent="0.1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</row>
    <row r="632" spans="1:23" x14ac:dyDescent="0.1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</row>
    <row r="633" spans="1:23" x14ac:dyDescent="0.1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</row>
    <row r="634" spans="1:23" x14ac:dyDescent="0.1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</row>
    <row r="635" spans="1:23" x14ac:dyDescent="0.1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</row>
    <row r="636" spans="1:23" x14ac:dyDescent="0.1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</row>
    <row r="637" spans="1:23" x14ac:dyDescent="0.1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</row>
    <row r="638" spans="1:23" x14ac:dyDescent="0.1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</row>
    <row r="639" spans="1:23" x14ac:dyDescent="0.1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</row>
    <row r="640" spans="1:23" x14ac:dyDescent="0.1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</row>
    <row r="641" spans="1:23" x14ac:dyDescent="0.1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</row>
    <row r="642" spans="1:23" x14ac:dyDescent="0.1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</row>
    <row r="643" spans="1:23" x14ac:dyDescent="0.1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</row>
    <row r="644" spans="1:23" x14ac:dyDescent="0.1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</row>
    <row r="645" spans="1:23" x14ac:dyDescent="0.1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</row>
    <row r="646" spans="1:23" x14ac:dyDescent="0.1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</row>
    <row r="647" spans="1:23" x14ac:dyDescent="0.1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</row>
    <row r="648" spans="1:23" x14ac:dyDescent="0.1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</row>
    <row r="649" spans="1:23" x14ac:dyDescent="0.1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</row>
    <row r="650" spans="1:23" x14ac:dyDescent="0.1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</row>
    <row r="651" spans="1:23" x14ac:dyDescent="0.1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</row>
    <row r="652" spans="1:23" x14ac:dyDescent="0.1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</row>
    <row r="653" spans="1:23" x14ac:dyDescent="0.1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</row>
    <row r="654" spans="1:23" x14ac:dyDescent="0.1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</row>
    <row r="655" spans="1:23" x14ac:dyDescent="0.1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</row>
    <row r="656" spans="1:23" x14ac:dyDescent="0.1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</row>
    <row r="657" spans="1:23" x14ac:dyDescent="0.1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</row>
    <row r="658" spans="1:23" x14ac:dyDescent="0.1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</row>
    <row r="659" spans="1:23" x14ac:dyDescent="0.1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</row>
    <row r="660" spans="1:23" x14ac:dyDescent="0.1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</row>
    <row r="661" spans="1:23" x14ac:dyDescent="0.1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</row>
    <row r="662" spans="1:23" x14ac:dyDescent="0.1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</row>
    <row r="663" spans="1:23" x14ac:dyDescent="0.1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</row>
    <row r="664" spans="1:23" x14ac:dyDescent="0.1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</row>
    <row r="665" spans="1:23" x14ac:dyDescent="0.1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</row>
    <row r="666" spans="1:23" x14ac:dyDescent="0.1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</row>
    <row r="667" spans="1:23" x14ac:dyDescent="0.1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</row>
    <row r="668" spans="1:23" x14ac:dyDescent="0.1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</row>
    <row r="669" spans="1:23" x14ac:dyDescent="0.1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</row>
    <row r="670" spans="1:23" x14ac:dyDescent="0.1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</row>
    <row r="671" spans="1:23" x14ac:dyDescent="0.1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</row>
    <row r="672" spans="1:23" x14ac:dyDescent="0.1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</row>
    <row r="673" spans="1:23" x14ac:dyDescent="0.1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</row>
    <row r="674" spans="1:23" x14ac:dyDescent="0.1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</row>
    <row r="675" spans="1:23" x14ac:dyDescent="0.1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</row>
    <row r="676" spans="1:23" x14ac:dyDescent="0.1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</row>
    <row r="677" spans="1:23" x14ac:dyDescent="0.1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</row>
    <row r="678" spans="1:23" x14ac:dyDescent="0.1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</row>
    <row r="679" spans="1:23" x14ac:dyDescent="0.1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</row>
    <row r="680" spans="1:23" x14ac:dyDescent="0.1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</row>
    <row r="681" spans="1:23" x14ac:dyDescent="0.1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</row>
    <row r="682" spans="1:23" x14ac:dyDescent="0.1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</row>
    <row r="683" spans="1:23" x14ac:dyDescent="0.1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</row>
    <row r="684" spans="1:23" x14ac:dyDescent="0.1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</row>
    <row r="685" spans="1:23" x14ac:dyDescent="0.1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</row>
    <row r="686" spans="1:23" x14ac:dyDescent="0.1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</row>
    <row r="687" spans="1:23" x14ac:dyDescent="0.1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</row>
    <row r="688" spans="1:23" x14ac:dyDescent="0.1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</row>
    <row r="689" spans="1:23" x14ac:dyDescent="0.1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</row>
    <row r="690" spans="1:23" x14ac:dyDescent="0.1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</row>
    <row r="691" spans="1:23" x14ac:dyDescent="0.1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</row>
    <row r="692" spans="1:23" x14ac:dyDescent="0.1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</row>
    <row r="693" spans="1:23" x14ac:dyDescent="0.1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</row>
    <row r="694" spans="1:23" x14ac:dyDescent="0.1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</row>
    <row r="695" spans="1:23" x14ac:dyDescent="0.1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</row>
    <row r="696" spans="1:23" x14ac:dyDescent="0.1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</row>
    <row r="697" spans="1:23" x14ac:dyDescent="0.1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</row>
    <row r="698" spans="1:23" x14ac:dyDescent="0.1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</row>
    <row r="699" spans="1:23" x14ac:dyDescent="0.1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</row>
    <row r="700" spans="1:23" x14ac:dyDescent="0.1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</row>
    <row r="701" spans="1:23" x14ac:dyDescent="0.1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</row>
    <row r="702" spans="1:23" x14ac:dyDescent="0.1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</row>
    <row r="703" spans="1:23" x14ac:dyDescent="0.1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</row>
    <row r="704" spans="1:23" x14ac:dyDescent="0.1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</row>
    <row r="705" spans="1:23" x14ac:dyDescent="0.1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</row>
    <row r="706" spans="1:23" x14ac:dyDescent="0.1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</row>
    <row r="707" spans="1:23" x14ac:dyDescent="0.1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</row>
    <row r="708" spans="1:23" x14ac:dyDescent="0.1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</row>
    <row r="709" spans="1:23" x14ac:dyDescent="0.1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</row>
    <row r="710" spans="1:23" x14ac:dyDescent="0.1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</row>
    <row r="711" spans="1:23" x14ac:dyDescent="0.1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</row>
    <row r="712" spans="1:23" x14ac:dyDescent="0.1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</row>
    <row r="713" spans="1:23" x14ac:dyDescent="0.1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</row>
    <row r="714" spans="1:23" x14ac:dyDescent="0.1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</row>
    <row r="715" spans="1:23" x14ac:dyDescent="0.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</row>
    <row r="716" spans="1:23" x14ac:dyDescent="0.1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</row>
    <row r="717" spans="1:23" x14ac:dyDescent="0.1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</row>
    <row r="718" spans="1:23" x14ac:dyDescent="0.1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</row>
    <row r="719" spans="1:23" x14ac:dyDescent="0.1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</row>
    <row r="720" spans="1:23" x14ac:dyDescent="0.1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</row>
    <row r="721" spans="1:23" x14ac:dyDescent="0.1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</row>
    <row r="722" spans="1:23" x14ac:dyDescent="0.1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</row>
    <row r="723" spans="1:23" x14ac:dyDescent="0.1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</row>
    <row r="724" spans="1:23" x14ac:dyDescent="0.1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</row>
    <row r="725" spans="1:23" x14ac:dyDescent="0.1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</row>
    <row r="726" spans="1:23" x14ac:dyDescent="0.1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</row>
    <row r="727" spans="1:23" x14ac:dyDescent="0.1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</row>
    <row r="728" spans="1:23" x14ac:dyDescent="0.1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</row>
    <row r="729" spans="1:23" x14ac:dyDescent="0.1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</row>
    <row r="730" spans="1:23" x14ac:dyDescent="0.1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</row>
    <row r="731" spans="1:23" x14ac:dyDescent="0.1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</row>
    <row r="732" spans="1:23" x14ac:dyDescent="0.1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</row>
    <row r="733" spans="1:23" x14ac:dyDescent="0.1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</row>
    <row r="734" spans="1:23" x14ac:dyDescent="0.1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</row>
    <row r="735" spans="1:23" x14ac:dyDescent="0.1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</row>
    <row r="736" spans="1:23" x14ac:dyDescent="0.1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</row>
    <row r="737" spans="1:23" x14ac:dyDescent="0.1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</row>
    <row r="738" spans="1:23" x14ac:dyDescent="0.1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</row>
    <row r="739" spans="1:23" x14ac:dyDescent="0.1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</row>
    <row r="740" spans="1:23" x14ac:dyDescent="0.1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</row>
    <row r="741" spans="1:23" x14ac:dyDescent="0.1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</row>
    <row r="742" spans="1:23" x14ac:dyDescent="0.1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</row>
    <row r="743" spans="1:23" x14ac:dyDescent="0.1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</row>
    <row r="744" spans="1:23" x14ac:dyDescent="0.1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</row>
    <row r="745" spans="1:23" x14ac:dyDescent="0.1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</row>
    <row r="746" spans="1:23" x14ac:dyDescent="0.1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</row>
    <row r="747" spans="1:23" x14ac:dyDescent="0.1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</row>
    <row r="748" spans="1:23" x14ac:dyDescent="0.1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</row>
    <row r="749" spans="1:23" x14ac:dyDescent="0.1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</row>
    <row r="750" spans="1:23" x14ac:dyDescent="0.1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</row>
    <row r="751" spans="1:23" x14ac:dyDescent="0.1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</row>
    <row r="752" spans="1:23" x14ac:dyDescent="0.1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</row>
    <row r="753" spans="1:23" x14ac:dyDescent="0.1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</row>
    <row r="754" spans="1:23" x14ac:dyDescent="0.1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</row>
    <row r="755" spans="1:23" x14ac:dyDescent="0.1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</row>
    <row r="756" spans="1:23" x14ac:dyDescent="0.1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</row>
    <row r="757" spans="1:23" x14ac:dyDescent="0.1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</row>
    <row r="758" spans="1:23" x14ac:dyDescent="0.1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</row>
    <row r="759" spans="1:23" x14ac:dyDescent="0.1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</row>
    <row r="760" spans="1:23" x14ac:dyDescent="0.1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</row>
    <row r="761" spans="1:23" x14ac:dyDescent="0.1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</row>
    <row r="762" spans="1:23" x14ac:dyDescent="0.1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</row>
    <row r="763" spans="1:23" x14ac:dyDescent="0.1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</row>
    <row r="764" spans="1:23" x14ac:dyDescent="0.1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</row>
    <row r="765" spans="1:23" x14ac:dyDescent="0.1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</row>
    <row r="766" spans="1:23" x14ac:dyDescent="0.1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</row>
    <row r="767" spans="1:23" x14ac:dyDescent="0.1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</row>
    <row r="768" spans="1:23" x14ac:dyDescent="0.1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</row>
    <row r="769" spans="1:23" x14ac:dyDescent="0.1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</row>
    <row r="770" spans="1:23" x14ac:dyDescent="0.1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</row>
    <row r="771" spans="1:23" x14ac:dyDescent="0.1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</row>
    <row r="772" spans="1:23" x14ac:dyDescent="0.1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</row>
    <row r="773" spans="1:23" x14ac:dyDescent="0.1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</row>
    <row r="774" spans="1:23" x14ac:dyDescent="0.1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</row>
    <row r="775" spans="1:23" x14ac:dyDescent="0.1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</row>
    <row r="776" spans="1:23" x14ac:dyDescent="0.1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</row>
    <row r="777" spans="1:23" x14ac:dyDescent="0.1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</row>
    <row r="778" spans="1:23" x14ac:dyDescent="0.1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</row>
    <row r="779" spans="1:23" x14ac:dyDescent="0.1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</row>
    <row r="780" spans="1:23" x14ac:dyDescent="0.1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</row>
    <row r="781" spans="1:23" x14ac:dyDescent="0.1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</row>
    <row r="782" spans="1:23" x14ac:dyDescent="0.1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</row>
    <row r="783" spans="1:23" x14ac:dyDescent="0.1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</row>
    <row r="784" spans="1:23" x14ac:dyDescent="0.1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</row>
    <row r="785" spans="1:23" x14ac:dyDescent="0.1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</row>
    <row r="786" spans="1:23" x14ac:dyDescent="0.1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</row>
    <row r="787" spans="1:23" x14ac:dyDescent="0.1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</row>
    <row r="788" spans="1:23" x14ac:dyDescent="0.1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</row>
    <row r="789" spans="1:23" x14ac:dyDescent="0.1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</row>
    <row r="790" spans="1:23" x14ac:dyDescent="0.1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</row>
    <row r="791" spans="1:23" x14ac:dyDescent="0.1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</row>
    <row r="792" spans="1:23" x14ac:dyDescent="0.1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</row>
    <row r="793" spans="1:23" x14ac:dyDescent="0.1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</row>
    <row r="794" spans="1:23" x14ac:dyDescent="0.1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</row>
    <row r="795" spans="1:23" x14ac:dyDescent="0.1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</row>
    <row r="796" spans="1:23" x14ac:dyDescent="0.1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</row>
    <row r="797" spans="1:23" x14ac:dyDescent="0.1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</row>
    <row r="798" spans="1:23" x14ac:dyDescent="0.1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</row>
    <row r="799" spans="1:23" x14ac:dyDescent="0.1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</row>
    <row r="800" spans="1:23" x14ac:dyDescent="0.1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</row>
    <row r="801" spans="1:23" x14ac:dyDescent="0.1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</row>
    <row r="802" spans="1:23" x14ac:dyDescent="0.1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</row>
    <row r="803" spans="1:23" x14ac:dyDescent="0.1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</row>
    <row r="804" spans="1:23" x14ac:dyDescent="0.1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</row>
    <row r="805" spans="1:23" x14ac:dyDescent="0.1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</row>
    <row r="806" spans="1:23" x14ac:dyDescent="0.1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</row>
    <row r="807" spans="1:23" x14ac:dyDescent="0.1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</row>
    <row r="808" spans="1:23" x14ac:dyDescent="0.1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</row>
    <row r="809" spans="1:23" x14ac:dyDescent="0.1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</row>
    <row r="810" spans="1:23" x14ac:dyDescent="0.1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</row>
    <row r="811" spans="1:23" x14ac:dyDescent="0.1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</row>
    <row r="812" spans="1:23" x14ac:dyDescent="0.1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</row>
    <row r="813" spans="1:23" x14ac:dyDescent="0.1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</row>
    <row r="814" spans="1:23" x14ac:dyDescent="0.1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</row>
    <row r="815" spans="1:23" x14ac:dyDescent="0.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</row>
    <row r="816" spans="1:23" x14ac:dyDescent="0.1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</row>
    <row r="817" spans="1:23" x14ac:dyDescent="0.1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</row>
    <row r="818" spans="1:23" x14ac:dyDescent="0.1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</row>
    <row r="819" spans="1:23" x14ac:dyDescent="0.1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</row>
    <row r="820" spans="1:23" x14ac:dyDescent="0.1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</row>
    <row r="821" spans="1:23" x14ac:dyDescent="0.1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</row>
    <row r="822" spans="1:23" x14ac:dyDescent="0.1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</row>
    <row r="823" spans="1:23" x14ac:dyDescent="0.1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</row>
    <row r="824" spans="1:23" x14ac:dyDescent="0.1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</row>
    <row r="825" spans="1:23" x14ac:dyDescent="0.1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</row>
    <row r="826" spans="1:23" x14ac:dyDescent="0.1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</row>
    <row r="827" spans="1:23" x14ac:dyDescent="0.1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</row>
    <row r="828" spans="1:23" x14ac:dyDescent="0.1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</row>
    <row r="829" spans="1:23" x14ac:dyDescent="0.1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</row>
    <row r="830" spans="1:23" x14ac:dyDescent="0.1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</row>
    <row r="831" spans="1:23" x14ac:dyDescent="0.1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</row>
    <row r="832" spans="1:23" x14ac:dyDescent="0.1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</row>
    <row r="833" spans="1:23" x14ac:dyDescent="0.1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</row>
    <row r="834" spans="1:23" x14ac:dyDescent="0.1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</row>
    <row r="835" spans="1:23" x14ac:dyDescent="0.1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</row>
    <row r="836" spans="1:23" x14ac:dyDescent="0.1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</row>
    <row r="837" spans="1:23" x14ac:dyDescent="0.1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</row>
    <row r="838" spans="1:23" x14ac:dyDescent="0.1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</row>
    <row r="839" spans="1:23" x14ac:dyDescent="0.1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</row>
    <row r="840" spans="1:23" x14ac:dyDescent="0.1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</row>
    <row r="841" spans="1:23" x14ac:dyDescent="0.1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</row>
    <row r="842" spans="1:23" x14ac:dyDescent="0.1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</row>
    <row r="843" spans="1:23" x14ac:dyDescent="0.1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</row>
    <row r="844" spans="1:23" x14ac:dyDescent="0.1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</row>
    <row r="845" spans="1:23" x14ac:dyDescent="0.1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</row>
    <row r="846" spans="1:23" x14ac:dyDescent="0.1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</row>
    <row r="847" spans="1:23" x14ac:dyDescent="0.1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</row>
    <row r="848" spans="1:23" x14ac:dyDescent="0.1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</row>
    <row r="849" spans="1:23" x14ac:dyDescent="0.1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</row>
    <row r="850" spans="1:23" x14ac:dyDescent="0.1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</row>
    <row r="851" spans="1:23" x14ac:dyDescent="0.1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</row>
    <row r="852" spans="1:23" x14ac:dyDescent="0.1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</row>
    <row r="853" spans="1:23" x14ac:dyDescent="0.1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</row>
    <row r="854" spans="1:23" x14ac:dyDescent="0.1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</row>
    <row r="855" spans="1:23" x14ac:dyDescent="0.1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</row>
    <row r="856" spans="1:23" x14ac:dyDescent="0.1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</row>
    <row r="857" spans="1:23" x14ac:dyDescent="0.1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</row>
    <row r="858" spans="1:23" x14ac:dyDescent="0.1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</row>
    <row r="859" spans="1:23" x14ac:dyDescent="0.1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</row>
    <row r="860" spans="1:23" x14ac:dyDescent="0.1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</row>
    <row r="861" spans="1:23" x14ac:dyDescent="0.1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</row>
    <row r="862" spans="1:23" x14ac:dyDescent="0.1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</row>
    <row r="863" spans="1:23" x14ac:dyDescent="0.1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</row>
    <row r="864" spans="1:23" x14ac:dyDescent="0.1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</row>
    <row r="865" spans="1:23" x14ac:dyDescent="0.1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</row>
    <row r="866" spans="1:23" x14ac:dyDescent="0.1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</row>
    <row r="867" spans="1:23" x14ac:dyDescent="0.1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</row>
    <row r="868" spans="1:23" x14ac:dyDescent="0.1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</row>
    <row r="869" spans="1:23" x14ac:dyDescent="0.1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</row>
    <row r="870" spans="1:23" x14ac:dyDescent="0.1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</row>
    <row r="871" spans="1:23" x14ac:dyDescent="0.1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</row>
    <row r="872" spans="1:23" x14ac:dyDescent="0.1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</row>
    <row r="873" spans="1:23" x14ac:dyDescent="0.1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</row>
    <row r="874" spans="1:23" x14ac:dyDescent="0.1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</row>
    <row r="875" spans="1:23" x14ac:dyDescent="0.1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</row>
    <row r="876" spans="1:23" x14ac:dyDescent="0.1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</row>
    <row r="877" spans="1:23" x14ac:dyDescent="0.1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</row>
    <row r="878" spans="1:23" x14ac:dyDescent="0.1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</row>
    <row r="879" spans="1:23" x14ac:dyDescent="0.1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</row>
    <row r="880" spans="1:23" x14ac:dyDescent="0.1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</row>
    <row r="881" spans="1:23" x14ac:dyDescent="0.1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</row>
    <row r="882" spans="1:23" x14ac:dyDescent="0.1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</row>
    <row r="883" spans="1:23" x14ac:dyDescent="0.1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</row>
    <row r="884" spans="1:23" x14ac:dyDescent="0.1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</row>
    <row r="885" spans="1:23" x14ac:dyDescent="0.1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</row>
    <row r="886" spans="1:23" x14ac:dyDescent="0.1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</row>
    <row r="887" spans="1:23" x14ac:dyDescent="0.1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</row>
    <row r="888" spans="1:23" x14ac:dyDescent="0.1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</row>
    <row r="889" spans="1:23" x14ac:dyDescent="0.1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</row>
    <row r="890" spans="1:23" x14ac:dyDescent="0.1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</row>
    <row r="891" spans="1:23" x14ac:dyDescent="0.1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</row>
    <row r="892" spans="1:23" x14ac:dyDescent="0.1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</row>
    <row r="893" spans="1:23" x14ac:dyDescent="0.1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</row>
    <row r="894" spans="1:23" x14ac:dyDescent="0.1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</row>
    <row r="895" spans="1:23" x14ac:dyDescent="0.1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</row>
    <row r="896" spans="1:23" x14ac:dyDescent="0.1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</row>
    <row r="897" spans="1:23" x14ac:dyDescent="0.1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</row>
    <row r="898" spans="1:23" x14ac:dyDescent="0.1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</row>
    <row r="899" spans="1:23" x14ac:dyDescent="0.1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</row>
    <row r="900" spans="1:23" x14ac:dyDescent="0.1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</row>
    <row r="901" spans="1:23" x14ac:dyDescent="0.1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</row>
    <row r="902" spans="1:23" x14ac:dyDescent="0.1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</row>
    <row r="903" spans="1:23" x14ac:dyDescent="0.1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</row>
    <row r="904" spans="1:23" x14ac:dyDescent="0.1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</row>
    <row r="905" spans="1:23" x14ac:dyDescent="0.1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</row>
    <row r="906" spans="1:23" x14ac:dyDescent="0.1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</row>
    <row r="907" spans="1:23" x14ac:dyDescent="0.1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</row>
    <row r="908" spans="1:23" x14ac:dyDescent="0.1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</row>
    <row r="909" spans="1:23" x14ac:dyDescent="0.1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</row>
    <row r="910" spans="1:23" x14ac:dyDescent="0.1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</row>
    <row r="911" spans="1:23" x14ac:dyDescent="0.1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</row>
    <row r="912" spans="1:23" x14ac:dyDescent="0.1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</row>
    <row r="913" spans="1:23" x14ac:dyDescent="0.1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</row>
    <row r="914" spans="1:23" x14ac:dyDescent="0.1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</row>
    <row r="915" spans="1:23" x14ac:dyDescent="0.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</row>
    <row r="916" spans="1:23" x14ac:dyDescent="0.1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</row>
    <row r="917" spans="1:23" x14ac:dyDescent="0.1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</row>
    <row r="918" spans="1:23" x14ac:dyDescent="0.1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</row>
    <row r="919" spans="1:23" x14ac:dyDescent="0.1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</row>
    <row r="920" spans="1:23" x14ac:dyDescent="0.1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</row>
    <row r="921" spans="1:23" x14ac:dyDescent="0.1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</row>
    <row r="922" spans="1:23" x14ac:dyDescent="0.1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</row>
    <row r="923" spans="1:23" x14ac:dyDescent="0.1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</row>
    <row r="924" spans="1:23" x14ac:dyDescent="0.1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</row>
    <row r="925" spans="1:23" x14ac:dyDescent="0.1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</row>
    <row r="926" spans="1:23" x14ac:dyDescent="0.1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</row>
    <row r="927" spans="1:23" x14ac:dyDescent="0.1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</row>
    <row r="928" spans="1:23" x14ac:dyDescent="0.1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</row>
    <row r="929" spans="1:23" x14ac:dyDescent="0.1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</row>
    <row r="930" spans="1:23" x14ac:dyDescent="0.1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</row>
    <row r="931" spans="1:23" x14ac:dyDescent="0.1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</row>
    <row r="932" spans="1:23" x14ac:dyDescent="0.1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</row>
    <row r="933" spans="1:23" x14ac:dyDescent="0.1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</row>
    <row r="934" spans="1:23" x14ac:dyDescent="0.1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</row>
    <row r="935" spans="1:23" x14ac:dyDescent="0.1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</row>
    <row r="936" spans="1:23" x14ac:dyDescent="0.1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</row>
    <row r="937" spans="1:23" x14ac:dyDescent="0.1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</row>
    <row r="938" spans="1:23" x14ac:dyDescent="0.1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</row>
    <row r="939" spans="1:23" x14ac:dyDescent="0.1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</row>
    <row r="940" spans="1:23" x14ac:dyDescent="0.1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</row>
    <row r="941" spans="1:23" x14ac:dyDescent="0.1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</row>
    <row r="942" spans="1:23" x14ac:dyDescent="0.1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</row>
    <row r="943" spans="1:23" x14ac:dyDescent="0.1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</row>
    <row r="944" spans="1:23" x14ac:dyDescent="0.1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</row>
    <row r="945" spans="1:23" x14ac:dyDescent="0.1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</row>
    <row r="946" spans="1:23" x14ac:dyDescent="0.1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</row>
    <row r="947" spans="1:23" x14ac:dyDescent="0.1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</row>
    <row r="948" spans="1:23" x14ac:dyDescent="0.1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</row>
    <row r="949" spans="1:23" x14ac:dyDescent="0.1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</row>
    <row r="950" spans="1:23" x14ac:dyDescent="0.1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</row>
    <row r="951" spans="1:23" x14ac:dyDescent="0.1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</row>
    <row r="952" spans="1:23" x14ac:dyDescent="0.1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</row>
    <row r="953" spans="1:23" x14ac:dyDescent="0.1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</row>
    <row r="954" spans="1:23" x14ac:dyDescent="0.1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</row>
    <row r="955" spans="1:23" x14ac:dyDescent="0.1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</row>
    <row r="956" spans="1:23" x14ac:dyDescent="0.1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</row>
    <row r="957" spans="1:23" x14ac:dyDescent="0.1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</row>
    <row r="958" spans="1:23" x14ac:dyDescent="0.1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</row>
    <row r="959" spans="1:23" x14ac:dyDescent="0.1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</row>
    <row r="960" spans="1:23" x14ac:dyDescent="0.1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</row>
    <row r="961" spans="1:23" x14ac:dyDescent="0.1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</row>
    <row r="962" spans="1:23" x14ac:dyDescent="0.1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</row>
    <row r="963" spans="1:23" x14ac:dyDescent="0.1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</row>
    <row r="964" spans="1:23" x14ac:dyDescent="0.1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</row>
    <row r="965" spans="1:23" x14ac:dyDescent="0.1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</row>
    <row r="966" spans="1:23" x14ac:dyDescent="0.1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</row>
    <row r="967" spans="1:23" x14ac:dyDescent="0.1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</row>
    <row r="968" spans="1:23" x14ac:dyDescent="0.1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0260-1A78-F54E-9604-19DA4DB8D3B9}">
  <sheetPr>
    <tabColor rgb="FFC00000"/>
  </sheetPr>
  <dimension ref="A1:G20"/>
  <sheetViews>
    <sheetView topLeftCell="E1" workbookViewId="0">
      <selection activeCell="U26" sqref="U26"/>
    </sheetView>
  </sheetViews>
  <sheetFormatPr baseColWidth="10" defaultRowHeight="13" x14ac:dyDescent="0.15"/>
  <sheetData>
    <row r="1" spans="1:7" ht="16" x14ac:dyDescent="0.2">
      <c r="A1" s="23" t="s">
        <v>0</v>
      </c>
      <c r="B1" s="61" t="s">
        <v>130</v>
      </c>
      <c r="C1" s="61" t="s">
        <v>131</v>
      </c>
      <c r="D1" s="61" t="s">
        <v>89</v>
      </c>
      <c r="E1" s="61" t="s">
        <v>90</v>
      </c>
      <c r="F1" s="64" t="s">
        <v>132</v>
      </c>
    </row>
    <row r="2" spans="1:7" x14ac:dyDescent="0.15">
      <c r="A2" s="28" t="s">
        <v>18</v>
      </c>
      <c r="B2" s="28">
        <v>67.06</v>
      </c>
      <c r="C2" s="28">
        <v>100</v>
      </c>
      <c r="D2" s="28">
        <v>87.69</v>
      </c>
      <c r="E2" s="28">
        <v>58.03</v>
      </c>
      <c r="F2" s="65">
        <f t="shared" ref="F2:F18" si="0">(AVERAGE(B2:E2))/100</f>
        <v>0.78194999999999992</v>
      </c>
      <c r="G2" s="67" t="str">
        <f>IF(F2&gt;$F$20,"High","Low")</f>
        <v>High</v>
      </c>
    </row>
    <row r="3" spans="1:7" x14ac:dyDescent="0.15">
      <c r="A3" s="28" t="s">
        <v>19</v>
      </c>
      <c r="B3" s="28">
        <v>65.37</v>
      </c>
      <c r="C3" s="28">
        <v>98.23</v>
      </c>
      <c r="D3" s="28">
        <v>87.85</v>
      </c>
      <c r="E3" s="28">
        <v>54.79</v>
      </c>
      <c r="F3" s="65">
        <f t="shared" si="0"/>
        <v>0.76560000000000006</v>
      </c>
      <c r="G3" s="67" t="str">
        <f t="shared" ref="G3:G18" si="1">IF(F3&gt;$F$20,"High","Low")</f>
        <v>High</v>
      </c>
    </row>
    <row r="4" spans="1:7" x14ac:dyDescent="0.15">
      <c r="A4" s="28" t="s">
        <v>17</v>
      </c>
      <c r="B4" s="28">
        <v>62.45</v>
      </c>
      <c r="C4" s="28">
        <v>97.17</v>
      </c>
      <c r="D4" s="28">
        <v>88.81</v>
      </c>
      <c r="E4" s="28">
        <v>56.46</v>
      </c>
      <c r="F4" s="65">
        <f t="shared" si="0"/>
        <v>0.76222499999999993</v>
      </c>
      <c r="G4" s="67" t="str">
        <f t="shared" si="1"/>
        <v>High</v>
      </c>
    </row>
    <row r="5" spans="1:7" x14ac:dyDescent="0.15">
      <c r="A5" s="28" t="s">
        <v>24</v>
      </c>
      <c r="B5" s="28">
        <v>69.5</v>
      </c>
      <c r="C5" s="28">
        <v>98.07</v>
      </c>
      <c r="D5" s="28">
        <v>88.52</v>
      </c>
      <c r="E5" s="28">
        <v>47.81</v>
      </c>
      <c r="F5" s="65">
        <f t="shared" si="0"/>
        <v>0.75974999999999993</v>
      </c>
      <c r="G5" s="67" t="str">
        <f t="shared" si="1"/>
        <v>High</v>
      </c>
    </row>
    <row r="6" spans="1:7" x14ac:dyDescent="0.15">
      <c r="A6" s="28" t="s">
        <v>7</v>
      </c>
      <c r="B6" s="28">
        <v>57.17</v>
      </c>
      <c r="C6" s="28">
        <v>89.91</v>
      </c>
      <c r="D6" s="28">
        <v>89.68</v>
      </c>
      <c r="E6" s="28">
        <v>62.28</v>
      </c>
      <c r="F6" s="65">
        <f t="shared" si="0"/>
        <v>0.74759999999999993</v>
      </c>
      <c r="G6" s="67" t="str">
        <f t="shared" si="1"/>
        <v>High</v>
      </c>
    </row>
    <row r="7" spans="1:7" x14ac:dyDescent="0.15">
      <c r="A7" s="28" t="s">
        <v>15</v>
      </c>
      <c r="B7" s="28">
        <v>57.1</v>
      </c>
      <c r="C7" s="28">
        <v>89.99</v>
      </c>
      <c r="D7" s="28">
        <v>89.85</v>
      </c>
      <c r="E7" s="28">
        <v>61.54</v>
      </c>
      <c r="F7" s="65">
        <f t="shared" si="0"/>
        <v>0.74620000000000009</v>
      </c>
      <c r="G7" s="67" t="str">
        <f t="shared" si="1"/>
        <v>High</v>
      </c>
    </row>
    <row r="8" spans="1:7" x14ac:dyDescent="0.15">
      <c r="A8" s="28" t="s">
        <v>23</v>
      </c>
      <c r="B8" s="28">
        <v>66.819999999999993</v>
      </c>
      <c r="C8" s="28">
        <v>97.25</v>
      </c>
      <c r="D8" s="28">
        <v>85.68</v>
      </c>
      <c r="E8" s="28">
        <v>44.22</v>
      </c>
      <c r="F8" s="65">
        <f t="shared" si="0"/>
        <v>0.73492500000000005</v>
      </c>
      <c r="G8" s="67" t="str">
        <f t="shared" si="1"/>
        <v>High</v>
      </c>
    </row>
    <row r="9" spans="1:7" x14ac:dyDescent="0.15">
      <c r="A9" s="28" t="s">
        <v>13</v>
      </c>
      <c r="B9" s="28">
        <v>62.32</v>
      </c>
      <c r="C9" s="28">
        <v>91.4</v>
      </c>
      <c r="D9" s="28">
        <v>84.76</v>
      </c>
      <c r="E9" s="28">
        <v>50.53</v>
      </c>
      <c r="F9" s="65">
        <f t="shared" si="0"/>
        <v>0.72252499999999997</v>
      </c>
      <c r="G9" s="67" t="str">
        <f t="shared" si="1"/>
        <v>High</v>
      </c>
    </row>
    <row r="10" spans="1:7" x14ac:dyDescent="0.15">
      <c r="A10" s="28" t="s">
        <v>26</v>
      </c>
      <c r="B10" s="28">
        <v>73.36</v>
      </c>
      <c r="C10" s="28">
        <v>99.23</v>
      </c>
      <c r="D10" s="28">
        <v>76.75</v>
      </c>
      <c r="E10" s="28">
        <v>38.049999999999997</v>
      </c>
      <c r="F10" s="65">
        <f t="shared" si="0"/>
        <v>0.71847499999999997</v>
      </c>
      <c r="G10" s="67" t="str">
        <f t="shared" si="1"/>
        <v>Low</v>
      </c>
    </row>
    <row r="11" spans="1:7" x14ac:dyDescent="0.15">
      <c r="A11" s="28" t="s">
        <v>29</v>
      </c>
      <c r="B11" s="28">
        <v>64.31</v>
      </c>
      <c r="C11" s="28">
        <v>94.84</v>
      </c>
      <c r="D11" s="28">
        <v>82.2</v>
      </c>
      <c r="E11" s="28">
        <v>40.770000000000003</v>
      </c>
      <c r="F11" s="65">
        <f t="shared" si="0"/>
        <v>0.70530000000000004</v>
      </c>
      <c r="G11" s="67" t="str">
        <f t="shared" si="1"/>
        <v>Low</v>
      </c>
    </row>
    <row r="12" spans="1:7" x14ac:dyDescent="0.15">
      <c r="A12" s="28" t="s">
        <v>27</v>
      </c>
      <c r="B12" s="28">
        <v>60.45</v>
      </c>
      <c r="C12" s="28">
        <v>93.87</v>
      </c>
      <c r="D12" s="28">
        <v>85.44</v>
      </c>
      <c r="E12" s="28">
        <v>41.53</v>
      </c>
      <c r="F12" s="65">
        <f t="shared" si="0"/>
        <v>0.70322499999999988</v>
      </c>
      <c r="G12" s="67" t="str">
        <f t="shared" si="1"/>
        <v>Low</v>
      </c>
    </row>
    <row r="13" spans="1:7" x14ac:dyDescent="0.15">
      <c r="A13" s="28" t="s">
        <v>22</v>
      </c>
      <c r="B13" s="28">
        <v>63.58</v>
      </c>
      <c r="C13" s="28">
        <v>92.68</v>
      </c>
      <c r="D13" s="28">
        <v>82.27</v>
      </c>
      <c r="E13" s="28">
        <v>42.31</v>
      </c>
      <c r="F13" s="65">
        <f t="shared" si="0"/>
        <v>0.70209999999999995</v>
      </c>
      <c r="G13" s="67" t="str">
        <f t="shared" si="1"/>
        <v>Low</v>
      </c>
    </row>
    <row r="14" spans="1:7" x14ac:dyDescent="0.15">
      <c r="A14" s="28" t="s">
        <v>81</v>
      </c>
      <c r="B14" s="28">
        <v>58.61</v>
      </c>
      <c r="C14" s="28">
        <v>90.26</v>
      </c>
      <c r="D14" s="28">
        <v>81.12</v>
      </c>
      <c r="E14" s="28">
        <v>46</v>
      </c>
      <c r="F14" s="65">
        <f t="shared" si="0"/>
        <v>0.689975</v>
      </c>
      <c r="G14" s="67" t="str">
        <f t="shared" si="1"/>
        <v>Low</v>
      </c>
    </row>
    <row r="15" spans="1:7" x14ac:dyDescent="0.15">
      <c r="A15" s="28" t="s">
        <v>25</v>
      </c>
      <c r="B15" s="28">
        <v>61.75</v>
      </c>
      <c r="C15" s="28">
        <v>91.6</v>
      </c>
      <c r="D15" s="28">
        <v>80.05</v>
      </c>
      <c r="E15" s="28">
        <v>42.08</v>
      </c>
      <c r="F15" s="65">
        <f t="shared" si="0"/>
        <v>0.68869999999999987</v>
      </c>
      <c r="G15" s="67" t="str">
        <f t="shared" si="1"/>
        <v>Low</v>
      </c>
    </row>
    <row r="16" spans="1:7" x14ac:dyDescent="0.15">
      <c r="A16" s="28" t="s">
        <v>28</v>
      </c>
      <c r="B16" s="28">
        <v>64.41</v>
      </c>
      <c r="C16" s="28">
        <v>92.24</v>
      </c>
      <c r="D16" s="28">
        <v>75.89</v>
      </c>
      <c r="E16" s="28">
        <v>37.450000000000003</v>
      </c>
      <c r="F16" s="65">
        <f t="shared" si="0"/>
        <v>0.67497499999999988</v>
      </c>
      <c r="G16" s="67" t="str">
        <f t="shared" si="1"/>
        <v>Low</v>
      </c>
    </row>
    <row r="17" spans="1:7" x14ac:dyDescent="0.15">
      <c r="A17" s="28" t="s">
        <v>20</v>
      </c>
      <c r="B17" s="28">
        <v>65.239999999999995</v>
      </c>
      <c r="C17" s="28">
        <v>91.7</v>
      </c>
      <c r="D17" s="28">
        <v>74.239999999999995</v>
      </c>
      <c r="E17" s="28">
        <v>34.43</v>
      </c>
      <c r="F17" s="65">
        <f t="shared" si="0"/>
        <v>0.66402500000000009</v>
      </c>
      <c r="G17" s="67" t="str">
        <f t="shared" si="1"/>
        <v>Low</v>
      </c>
    </row>
    <row r="18" spans="1:7" x14ac:dyDescent="0.15">
      <c r="A18" s="28" t="s">
        <v>11</v>
      </c>
      <c r="B18" s="28">
        <v>53.65</v>
      </c>
      <c r="C18" s="28">
        <v>71.510000000000005</v>
      </c>
      <c r="D18" s="28">
        <v>36.479999999999997</v>
      </c>
      <c r="E18" s="28">
        <v>10.59</v>
      </c>
      <c r="F18" s="65">
        <f t="shared" si="0"/>
        <v>0.43057499999999999</v>
      </c>
      <c r="G18" s="67" t="str">
        <f t="shared" si="1"/>
        <v>Low</v>
      </c>
    </row>
    <row r="20" spans="1:7" x14ac:dyDescent="0.15">
      <c r="E20" s="28" t="s">
        <v>59</v>
      </c>
      <c r="F20" s="66">
        <f>MEDIAN(F2:F18)</f>
        <v>0.71847499999999997</v>
      </c>
    </row>
  </sheetData>
  <autoFilter ref="A1:F18" xr:uid="{05CE0260-1A78-F54E-9604-19DA4DB8D3B9}">
    <sortState xmlns:xlrd2="http://schemas.microsoft.com/office/spreadsheetml/2017/richdata2" ref="A2:F18">
      <sortCondition descending="1" ref="F1:F18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FF0E-5A4A-6140-B7E0-5D0FAA365101}">
  <dimension ref="A1:E20"/>
  <sheetViews>
    <sheetView tabSelected="1" zoomScale="81" zoomScaleNormal="50" workbookViewId="0">
      <selection activeCell="L41" sqref="L41"/>
    </sheetView>
  </sheetViews>
  <sheetFormatPr baseColWidth="10" defaultRowHeight="13" x14ac:dyDescent="0.15"/>
  <cols>
    <col min="2" max="2" width="28.33203125" bestFit="1" customWidth="1"/>
    <col min="3" max="3" width="24.1640625" bestFit="1" customWidth="1"/>
    <col min="4" max="5" width="11.5" bestFit="1" customWidth="1"/>
  </cols>
  <sheetData>
    <row r="1" spans="1:5" ht="16" x14ac:dyDescent="0.2">
      <c r="A1" s="23" t="s">
        <v>0</v>
      </c>
      <c r="B1" s="23" t="s">
        <v>127</v>
      </c>
      <c r="C1" s="23" t="s">
        <v>129</v>
      </c>
      <c r="D1" s="45" t="s">
        <v>125</v>
      </c>
      <c r="E1" s="45" t="s">
        <v>126</v>
      </c>
    </row>
    <row r="2" spans="1:5" ht="16" x14ac:dyDescent="0.2">
      <c r="A2" s="21" t="s">
        <v>13</v>
      </c>
      <c r="B2" s="27">
        <v>107187</v>
      </c>
      <c r="C2" s="62">
        <f>_xlfn.XLOOKUP(A2,'ENROLLMENT RATE'!$A$2:$A$18,'ENROLLMENT RATE'!$F$2:$F$18)</f>
        <v>0.72252499999999997</v>
      </c>
      <c r="D2" s="58">
        <f>B2-(MEDIAN($B$2:$B$18))</f>
        <v>-335379</v>
      </c>
      <c r="E2" s="68">
        <f>C2-(MEDIAN($C$2:$C$18))</f>
        <v>4.049999999999998E-3</v>
      </c>
    </row>
    <row r="3" spans="1:5" ht="16" x14ac:dyDescent="0.2">
      <c r="A3" s="21" t="s">
        <v>7</v>
      </c>
      <c r="B3" s="27">
        <v>398900</v>
      </c>
      <c r="C3" s="62">
        <f>_xlfn.XLOOKUP(A3,'ENROLLMENT RATE'!$A$2:$A$18,'ENROLLMENT RATE'!$F$2:$F$18)</f>
        <v>0.74759999999999993</v>
      </c>
      <c r="D3" s="58">
        <f t="shared" ref="D3:D18" si="0">B3-(MEDIAN($B$2:$B$18))</f>
        <v>-43666</v>
      </c>
      <c r="E3" s="68">
        <f t="shared" ref="E3:E18" si="1">C3-(MEDIAN($C$2:$C$18))</f>
        <v>2.9124999999999956E-2</v>
      </c>
    </row>
    <row r="4" spans="1:5" ht="16" x14ac:dyDescent="0.2">
      <c r="A4" s="21" t="s">
        <v>19</v>
      </c>
      <c r="B4" s="27">
        <v>606348.5</v>
      </c>
      <c r="C4" s="62">
        <f>_xlfn.XLOOKUP(A4,'ENROLLMENT RATE'!$A$2:$A$18,'ENROLLMENT RATE'!$F$2:$F$18)</f>
        <v>0.76560000000000006</v>
      </c>
      <c r="D4" s="58">
        <f t="shared" si="0"/>
        <v>163782.5</v>
      </c>
      <c r="E4" s="68">
        <f t="shared" si="1"/>
        <v>4.7125000000000083E-2</v>
      </c>
    </row>
    <row r="5" spans="1:5" ht="16" x14ac:dyDescent="0.2">
      <c r="A5" s="21" t="s">
        <v>18</v>
      </c>
      <c r="B5" s="27">
        <v>532256</v>
      </c>
      <c r="C5" s="62">
        <f>_xlfn.XLOOKUP(A5,'ENROLLMENT RATE'!$A$2:$A$18,'ENROLLMENT RATE'!$F$2:$F$18)</f>
        <v>0.78194999999999992</v>
      </c>
      <c r="D5" s="58">
        <f t="shared" si="0"/>
        <v>89690</v>
      </c>
      <c r="E5" s="68">
        <f t="shared" si="1"/>
        <v>6.3474999999999948E-2</v>
      </c>
    </row>
    <row r="6" spans="1:5" ht="16" x14ac:dyDescent="0.2">
      <c r="A6" s="21" t="s">
        <v>17</v>
      </c>
      <c r="B6" s="27">
        <v>191926.5</v>
      </c>
      <c r="C6" s="62">
        <f>_xlfn.XLOOKUP(A6,'ENROLLMENT RATE'!$A$2:$A$18,'ENROLLMENT RATE'!$F$2:$F$18)</f>
        <v>0.76222499999999993</v>
      </c>
      <c r="D6" s="58">
        <f t="shared" si="0"/>
        <v>-250639.5</v>
      </c>
      <c r="E6" s="68">
        <f t="shared" si="1"/>
        <v>4.3749999999999956E-2</v>
      </c>
    </row>
    <row r="7" spans="1:5" ht="16" x14ac:dyDescent="0.2">
      <c r="A7" s="21" t="s">
        <v>24</v>
      </c>
      <c r="B7" s="27">
        <v>540618</v>
      </c>
      <c r="C7" s="62">
        <f>_xlfn.XLOOKUP(A7,'ENROLLMENT RATE'!$A$2:$A$18,'ENROLLMENT RATE'!$F$2:$F$18)</f>
        <v>0.75974999999999993</v>
      </c>
      <c r="D7" s="58">
        <f t="shared" si="0"/>
        <v>98052</v>
      </c>
      <c r="E7" s="68">
        <f t="shared" si="1"/>
        <v>4.1274999999999951E-2</v>
      </c>
    </row>
    <row r="8" spans="1:5" ht="16" x14ac:dyDescent="0.2">
      <c r="A8" s="21" t="s">
        <v>15</v>
      </c>
      <c r="B8" s="27">
        <v>381794.5</v>
      </c>
      <c r="C8" s="62">
        <f>_xlfn.XLOOKUP(A8,'ENROLLMENT RATE'!$A$2:$A$18,'ENROLLMENT RATE'!$F$2:$F$18)</f>
        <v>0.74620000000000009</v>
      </c>
      <c r="D8" s="58">
        <f t="shared" si="0"/>
        <v>-60771.5</v>
      </c>
      <c r="E8" s="68">
        <f t="shared" si="1"/>
        <v>2.7725000000000111E-2</v>
      </c>
    </row>
    <row r="9" spans="1:5" ht="16" x14ac:dyDescent="0.2">
      <c r="A9" s="21" t="s">
        <v>23</v>
      </c>
      <c r="B9" s="27">
        <v>624815</v>
      </c>
      <c r="C9" s="62">
        <f>_xlfn.XLOOKUP(A9,'ENROLLMENT RATE'!$A$2:$A$18,'ENROLLMENT RATE'!$F$2:$F$18)</f>
        <v>0.73492500000000005</v>
      </c>
      <c r="D9" s="58">
        <f t="shared" si="0"/>
        <v>182249</v>
      </c>
      <c r="E9" s="68">
        <f t="shared" si="1"/>
        <v>1.6450000000000076E-2</v>
      </c>
    </row>
    <row r="10" spans="1:5" ht="16" x14ac:dyDescent="0.2">
      <c r="A10" s="21" t="s">
        <v>27</v>
      </c>
      <c r="B10" s="27">
        <v>404542.5</v>
      </c>
      <c r="C10" s="62">
        <f>_xlfn.XLOOKUP(A10,'ENROLLMENT RATE'!$A$2:$A$18,'ENROLLMENT RATE'!$F$2:$F$18)</f>
        <v>0.70322499999999988</v>
      </c>
      <c r="D10" s="58">
        <f t="shared" si="0"/>
        <v>-38023.5</v>
      </c>
      <c r="E10" s="68">
        <f t="shared" si="1"/>
        <v>-1.5250000000000097E-2</v>
      </c>
    </row>
    <row r="11" spans="1:5" ht="16" x14ac:dyDescent="0.2">
      <c r="A11" s="21" t="s">
        <v>28</v>
      </c>
      <c r="B11" s="27">
        <v>401800.5</v>
      </c>
      <c r="C11" s="62">
        <f>_xlfn.XLOOKUP(A11,'ENROLLMENT RATE'!$A$2:$A$18,'ENROLLMENT RATE'!$F$2:$F$18)</f>
        <v>0.67497499999999988</v>
      </c>
      <c r="D11" s="58">
        <f t="shared" si="0"/>
        <v>-40765.5</v>
      </c>
      <c r="E11" s="68">
        <f t="shared" si="1"/>
        <v>-4.3500000000000094E-2</v>
      </c>
    </row>
    <row r="12" spans="1:5" ht="16" x14ac:dyDescent="0.2">
      <c r="A12" s="21" t="s">
        <v>26</v>
      </c>
      <c r="B12" s="27">
        <v>442566</v>
      </c>
      <c r="C12" s="62">
        <f>_xlfn.XLOOKUP(A12,'ENROLLMENT RATE'!$A$2:$A$18,'ENROLLMENT RATE'!$F$2:$F$18)</f>
        <v>0.71847499999999997</v>
      </c>
      <c r="D12" s="58">
        <f t="shared" si="0"/>
        <v>0</v>
      </c>
      <c r="E12" s="68">
        <f t="shared" si="1"/>
        <v>0</v>
      </c>
    </row>
    <row r="13" spans="1:5" ht="16" x14ac:dyDescent="0.2">
      <c r="A13" s="21" t="s">
        <v>81</v>
      </c>
      <c r="B13" s="27">
        <v>351762.5</v>
      </c>
      <c r="C13" s="62">
        <f>_xlfn.XLOOKUP(A13,'ENROLLMENT RATE'!$A$2:$A$18,'ENROLLMENT RATE'!$F$2:$F$18)</f>
        <v>0.689975</v>
      </c>
      <c r="D13" s="58">
        <f t="shared" si="0"/>
        <v>-90803.5</v>
      </c>
      <c r="E13" s="68">
        <f t="shared" si="1"/>
        <v>-2.849999999999997E-2</v>
      </c>
    </row>
    <row r="14" spans="1:5" ht="16" x14ac:dyDescent="0.2">
      <c r="A14" s="21" t="s">
        <v>25</v>
      </c>
      <c r="B14" s="27">
        <v>504800</v>
      </c>
      <c r="C14" s="62">
        <f>_xlfn.XLOOKUP(A14,'ENROLLMENT RATE'!$A$2:$A$18,'ENROLLMENT RATE'!$F$2:$F$18)</f>
        <v>0.68869999999999987</v>
      </c>
      <c r="D14" s="58">
        <f t="shared" si="0"/>
        <v>62234</v>
      </c>
      <c r="E14" s="68">
        <f t="shared" si="1"/>
        <v>-2.9775000000000107E-2</v>
      </c>
    </row>
    <row r="15" spans="1:5" ht="16" x14ac:dyDescent="0.2">
      <c r="A15" s="21" t="s">
        <v>29</v>
      </c>
      <c r="B15" s="27">
        <v>322319.5</v>
      </c>
      <c r="C15" s="62">
        <f>_xlfn.XLOOKUP(A15,'ENROLLMENT RATE'!$A$2:$A$18,'ENROLLMENT RATE'!$F$2:$F$18)</f>
        <v>0.70530000000000004</v>
      </c>
      <c r="D15" s="58">
        <f t="shared" si="0"/>
        <v>-120246.5</v>
      </c>
      <c r="E15" s="68">
        <f>C15-(MEDIAN($C$2:$C$18))</f>
        <v>-1.3174999999999937E-2</v>
      </c>
    </row>
    <row r="16" spans="1:5" ht="16" x14ac:dyDescent="0.2">
      <c r="A16" s="21" t="s">
        <v>22</v>
      </c>
      <c r="B16" s="27">
        <v>726721</v>
      </c>
      <c r="C16" s="62">
        <f>_xlfn.XLOOKUP(A16,'ENROLLMENT RATE'!$A$2:$A$18,'ENROLLMENT RATE'!$F$2:$F$18)</f>
        <v>0.70209999999999995</v>
      </c>
      <c r="D16" s="58">
        <f t="shared" si="0"/>
        <v>284155</v>
      </c>
      <c r="E16" s="68">
        <f t="shared" si="1"/>
        <v>-1.6375000000000028E-2</v>
      </c>
    </row>
    <row r="17" spans="1:5" ht="16" x14ac:dyDescent="0.2">
      <c r="A17" s="21" t="s">
        <v>20</v>
      </c>
      <c r="B17" s="27">
        <v>491075.5</v>
      </c>
      <c r="C17" s="62">
        <f>_xlfn.XLOOKUP(A17,'ENROLLMENT RATE'!$A$2:$A$18,'ENROLLMENT RATE'!$F$2:$F$18)</f>
        <v>0.66402500000000009</v>
      </c>
      <c r="D17" s="58">
        <f>B17-(MEDIAN($B$2:$B$18))</f>
        <v>48509.5</v>
      </c>
      <c r="E17" s="68">
        <f t="shared" si="1"/>
        <v>-5.4449999999999887E-2</v>
      </c>
    </row>
    <row r="18" spans="1:5" ht="16" x14ac:dyDescent="0.2">
      <c r="A18" s="21" t="s">
        <v>11</v>
      </c>
      <c r="B18" s="27">
        <v>694742</v>
      </c>
      <c r="C18" s="62">
        <f>_xlfn.XLOOKUP(A18,'ENROLLMENT RATE'!$A$2:$A$18,'ENROLLMENT RATE'!$F$2:$F$18)</f>
        <v>0.43057499999999999</v>
      </c>
      <c r="D18" s="58">
        <f t="shared" si="0"/>
        <v>252176</v>
      </c>
      <c r="E18" s="68">
        <f t="shared" si="1"/>
        <v>-0.28789999999999999</v>
      </c>
    </row>
    <row r="20" spans="1:5" x14ac:dyDescent="0.15">
      <c r="C20" s="5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3"/>
  <sheetViews>
    <sheetView workbookViewId="0">
      <selection activeCell="D22" sqref="D22"/>
    </sheetView>
  </sheetViews>
  <sheetFormatPr baseColWidth="10" defaultColWidth="12.6640625" defaultRowHeight="15.75" customHeight="1" x14ac:dyDescent="0.25"/>
  <cols>
    <col min="1" max="1" width="4" style="42" customWidth="1"/>
    <col min="2" max="16384" width="12.6640625" style="42"/>
  </cols>
  <sheetData>
    <row r="1" spans="1:26" ht="19" x14ac:dyDescent="0.25">
      <c r="A1" s="70" t="s">
        <v>60</v>
      </c>
      <c r="B1" s="71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9" x14ac:dyDescent="0.25">
      <c r="A2" s="39"/>
      <c r="B2" s="39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9" x14ac:dyDescent="0.25">
      <c r="A3" s="40"/>
      <c r="B3" s="39" t="s">
        <v>102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9" x14ac:dyDescent="0.25">
      <c r="A4" s="39"/>
      <c r="B4" s="39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9" x14ac:dyDescent="0.25">
      <c r="A5" s="40"/>
      <c r="B5" s="39" t="s">
        <v>61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9" x14ac:dyDescent="0.25">
      <c r="A6" s="39"/>
      <c r="B6" s="41" t="s">
        <v>62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9" x14ac:dyDescent="0.25">
      <c r="A7" s="39"/>
      <c r="B7" s="39" t="s">
        <v>63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9" x14ac:dyDescent="0.25">
      <c r="A8" s="39"/>
      <c r="B8" s="39" t="s">
        <v>64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9" x14ac:dyDescent="0.25">
      <c r="A9" s="39"/>
      <c r="B9" s="39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9" x14ac:dyDescent="0.25">
      <c r="A10" s="40"/>
      <c r="B10" s="39" t="s">
        <v>77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9" x14ac:dyDescent="0.25">
      <c r="A11" s="39"/>
      <c r="B11" s="39" t="s">
        <v>65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9" x14ac:dyDescent="0.25">
      <c r="A12" s="39"/>
      <c r="B12" s="39" t="s">
        <v>66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9" x14ac:dyDescent="0.25">
      <c r="A13" s="39"/>
      <c r="B13" s="39" t="s">
        <v>67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9" x14ac:dyDescent="0.25">
      <c r="A14" s="39"/>
      <c r="B14" s="39" t="s">
        <v>68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9" x14ac:dyDescent="0.25">
      <c r="A15" s="39"/>
      <c r="B15" s="39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5.75" customHeight="1" x14ac:dyDescent="0.25">
      <c r="A16" s="43" t="s">
        <v>74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5.75" customHeight="1" x14ac:dyDescent="0.25">
      <c r="A17" s="44"/>
      <c r="B17" s="43" t="s">
        <v>75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5.75" customHeight="1" x14ac:dyDescent="0.25">
      <c r="A18" s="43"/>
      <c r="B18" s="43" t="s">
        <v>76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5.75" customHeight="1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5.75" customHeight="1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75" customHeight="1" x14ac:dyDescent="0.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75" customHeight="1" x14ac:dyDescent="0.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75" customHeight="1" x14ac:dyDescent="0.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9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9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9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9" x14ac:dyDescent="0.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9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9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9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9" x14ac:dyDescent="0.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9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9" x14ac:dyDescent="0.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9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9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9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9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9" x14ac:dyDescent="0.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9" x14ac:dyDescent="0.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9" x14ac:dyDescent="0.25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9" x14ac:dyDescent="0.25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9" x14ac:dyDescent="0.25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9" x14ac:dyDescent="0.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9" x14ac:dyDescent="0.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9" x14ac:dyDescent="0.25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9" x14ac:dyDescent="0.25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9" x14ac:dyDescent="0.2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9" x14ac:dyDescent="0.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9" x14ac:dyDescent="0.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9" x14ac:dyDescent="0.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9" x14ac:dyDescent="0.2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9" x14ac:dyDescent="0.2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9" x14ac:dyDescent="0.2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9" x14ac:dyDescent="0.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9" x14ac:dyDescent="0.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9" x14ac:dyDescent="0.25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9" x14ac:dyDescent="0.25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9" x14ac:dyDescent="0.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9" x14ac:dyDescent="0.2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9" x14ac:dyDescent="0.2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9" x14ac:dyDescent="0.25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9" x14ac:dyDescent="0.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9" x14ac:dyDescent="0.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9" x14ac:dyDescent="0.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9" x14ac:dyDescent="0.25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9" x14ac:dyDescent="0.25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9" x14ac:dyDescent="0.25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9" x14ac:dyDescent="0.25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9" x14ac:dyDescent="0.2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9" x14ac:dyDescent="0.25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9" x14ac:dyDescent="0.25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9" x14ac:dyDescent="0.25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9" x14ac:dyDescent="0.25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9" x14ac:dyDescent="0.2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9" x14ac:dyDescent="0.2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9" x14ac:dyDescent="0.25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9" x14ac:dyDescent="0.2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9" x14ac:dyDescent="0.2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9" x14ac:dyDescent="0.2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9" x14ac:dyDescent="0.25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9" x14ac:dyDescent="0.25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9" x14ac:dyDescent="0.25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9" x14ac:dyDescent="0.25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9" x14ac:dyDescent="0.25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9" x14ac:dyDescent="0.25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9" x14ac:dyDescent="0.25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9" x14ac:dyDescent="0.25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9" x14ac:dyDescent="0.25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9" x14ac:dyDescent="0.2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9" x14ac:dyDescent="0.25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9" x14ac:dyDescent="0.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9" x14ac:dyDescent="0.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9" x14ac:dyDescent="0.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9" x14ac:dyDescent="0.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9" x14ac:dyDescent="0.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9" x14ac:dyDescent="0.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9" x14ac:dyDescent="0.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9" x14ac:dyDescent="0.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9" x14ac:dyDescent="0.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9" x14ac:dyDescent="0.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9" x14ac:dyDescent="0.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9" x14ac:dyDescent="0.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9" x14ac:dyDescent="0.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9" x14ac:dyDescent="0.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9" x14ac:dyDescent="0.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9" x14ac:dyDescent="0.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9" x14ac:dyDescent="0.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9" x14ac:dyDescent="0.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9" x14ac:dyDescent="0.2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9" x14ac:dyDescent="0.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9" x14ac:dyDescent="0.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9" x14ac:dyDescent="0.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9" x14ac:dyDescent="0.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9" x14ac:dyDescent="0.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9" x14ac:dyDescent="0.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9" x14ac:dyDescent="0.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9" x14ac:dyDescent="0.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9" x14ac:dyDescent="0.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9" x14ac:dyDescent="0.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9" x14ac:dyDescent="0.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9" x14ac:dyDescent="0.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9" x14ac:dyDescent="0.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9" x14ac:dyDescent="0.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9" x14ac:dyDescent="0.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9" x14ac:dyDescent="0.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9" x14ac:dyDescent="0.2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9" x14ac:dyDescent="0.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9" x14ac:dyDescent="0.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9" x14ac:dyDescent="0.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9" x14ac:dyDescent="0.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9" x14ac:dyDescent="0.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9" x14ac:dyDescent="0.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9" x14ac:dyDescent="0.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9" x14ac:dyDescent="0.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9" x14ac:dyDescent="0.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9" x14ac:dyDescent="0.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9" x14ac:dyDescent="0.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9" x14ac:dyDescent="0.2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9" x14ac:dyDescent="0.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9" x14ac:dyDescent="0.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9" x14ac:dyDescent="0.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9" x14ac:dyDescent="0.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9" x14ac:dyDescent="0.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9" x14ac:dyDescent="0.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9" x14ac:dyDescent="0.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9" x14ac:dyDescent="0.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9" x14ac:dyDescent="0.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9" x14ac:dyDescent="0.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9" x14ac:dyDescent="0.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9" x14ac:dyDescent="0.2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9" x14ac:dyDescent="0.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9" x14ac:dyDescent="0.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9" x14ac:dyDescent="0.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9" x14ac:dyDescent="0.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9" x14ac:dyDescent="0.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9" x14ac:dyDescent="0.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9" x14ac:dyDescent="0.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9" x14ac:dyDescent="0.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9" x14ac:dyDescent="0.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9" x14ac:dyDescent="0.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9" x14ac:dyDescent="0.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9" x14ac:dyDescent="0.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9" x14ac:dyDescent="0.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9" x14ac:dyDescent="0.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9" x14ac:dyDescent="0.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9" x14ac:dyDescent="0.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9" x14ac:dyDescent="0.2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9" x14ac:dyDescent="0.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9" x14ac:dyDescent="0.2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9" x14ac:dyDescent="0.2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9" x14ac:dyDescent="0.2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9" x14ac:dyDescent="0.2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9" x14ac:dyDescent="0.2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9" x14ac:dyDescent="0.2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9" x14ac:dyDescent="0.2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9" x14ac:dyDescent="0.2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9" x14ac:dyDescent="0.2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9" x14ac:dyDescent="0.2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9" x14ac:dyDescent="0.2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9" x14ac:dyDescent="0.2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9" x14ac:dyDescent="0.2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9" x14ac:dyDescent="0.2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9" x14ac:dyDescent="0.2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9" x14ac:dyDescent="0.2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9" x14ac:dyDescent="0.2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9" x14ac:dyDescent="0.2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9" x14ac:dyDescent="0.2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9" x14ac:dyDescent="0.2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9" x14ac:dyDescent="0.2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9" x14ac:dyDescent="0.2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9" x14ac:dyDescent="0.2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9" x14ac:dyDescent="0.2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9" x14ac:dyDescent="0.2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9" x14ac:dyDescent="0.2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9" x14ac:dyDescent="0.2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9" x14ac:dyDescent="0.2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9" x14ac:dyDescent="0.2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9" x14ac:dyDescent="0.2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9" x14ac:dyDescent="0.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9" x14ac:dyDescent="0.2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9" x14ac:dyDescent="0.2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9" x14ac:dyDescent="0.2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9" x14ac:dyDescent="0.2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9" x14ac:dyDescent="0.2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9" x14ac:dyDescent="0.2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9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9" x14ac:dyDescent="0.2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9" x14ac:dyDescent="0.2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9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9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9" x14ac:dyDescent="0.2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9" x14ac:dyDescent="0.2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9" x14ac:dyDescent="0.2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9" x14ac:dyDescent="0.2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9" x14ac:dyDescent="0.2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9" x14ac:dyDescent="0.2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9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9" x14ac:dyDescent="0.2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9" x14ac:dyDescent="0.2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9" x14ac:dyDescent="0.2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9" x14ac:dyDescent="0.2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9" x14ac:dyDescent="0.2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9" x14ac:dyDescent="0.2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9" x14ac:dyDescent="0.2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9" x14ac:dyDescent="0.2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9" x14ac:dyDescent="0.2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9" x14ac:dyDescent="0.2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9" x14ac:dyDescent="0.2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9" x14ac:dyDescent="0.2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9" x14ac:dyDescent="0.2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9" x14ac:dyDescent="0.2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9" x14ac:dyDescent="0.2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9" x14ac:dyDescent="0.2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9" x14ac:dyDescent="0.2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9" x14ac:dyDescent="0.2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9" x14ac:dyDescent="0.2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9" x14ac:dyDescent="0.2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9" x14ac:dyDescent="0.2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9" x14ac:dyDescent="0.2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9" x14ac:dyDescent="0.2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9" x14ac:dyDescent="0.2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9" x14ac:dyDescent="0.2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9" x14ac:dyDescent="0.2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9" x14ac:dyDescent="0.2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9" x14ac:dyDescent="0.2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9" x14ac:dyDescent="0.2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9" x14ac:dyDescent="0.2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9" x14ac:dyDescent="0.2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9" x14ac:dyDescent="0.2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9" x14ac:dyDescent="0.2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9" x14ac:dyDescent="0.2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9" x14ac:dyDescent="0.2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9" x14ac:dyDescent="0.2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9" x14ac:dyDescent="0.2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9" x14ac:dyDescent="0.2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9" x14ac:dyDescent="0.2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9" x14ac:dyDescent="0.2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9" x14ac:dyDescent="0.2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9" x14ac:dyDescent="0.2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9" x14ac:dyDescent="0.2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9" x14ac:dyDescent="0.2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9" x14ac:dyDescent="0.2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9" x14ac:dyDescent="0.2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9" x14ac:dyDescent="0.2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9" x14ac:dyDescent="0.2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9" x14ac:dyDescent="0.2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9" x14ac:dyDescent="0.2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9" x14ac:dyDescent="0.2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9" x14ac:dyDescent="0.2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9" x14ac:dyDescent="0.2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9" x14ac:dyDescent="0.2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9" x14ac:dyDescent="0.2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9" x14ac:dyDescent="0.2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9" x14ac:dyDescent="0.2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9" x14ac:dyDescent="0.2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9" x14ac:dyDescent="0.2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9" x14ac:dyDescent="0.2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9" x14ac:dyDescent="0.2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9" x14ac:dyDescent="0.2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9" x14ac:dyDescent="0.2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9" x14ac:dyDescent="0.2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9" x14ac:dyDescent="0.2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9" x14ac:dyDescent="0.2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9" x14ac:dyDescent="0.2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9" x14ac:dyDescent="0.2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9" x14ac:dyDescent="0.2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9" x14ac:dyDescent="0.2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9" x14ac:dyDescent="0.2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9" x14ac:dyDescent="0.2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9" x14ac:dyDescent="0.2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9" x14ac:dyDescent="0.2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9" x14ac:dyDescent="0.2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9" x14ac:dyDescent="0.2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9" x14ac:dyDescent="0.2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9" x14ac:dyDescent="0.2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9" x14ac:dyDescent="0.2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9" x14ac:dyDescent="0.2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9" x14ac:dyDescent="0.2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9" x14ac:dyDescent="0.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9" x14ac:dyDescent="0.2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9" x14ac:dyDescent="0.2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9" x14ac:dyDescent="0.2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9" x14ac:dyDescent="0.2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9" x14ac:dyDescent="0.2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9" x14ac:dyDescent="0.2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9" x14ac:dyDescent="0.2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9" x14ac:dyDescent="0.2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9" x14ac:dyDescent="0.2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9" x14ac:dyDescent="0.2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9" x14ac:dyDescent="0.2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9" x14ac:dyDescent="0.2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9" x14ac:dyDescent="0.2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9" x14ac:dyDescent="0.2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9" x14ac:dyDescent="0.2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9" x14ac:dyDescent="0.2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9" x14ac:dyDescent="0.2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9" x14ac:dyDescent="0.2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9" x14ac:dyDescent="0.2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9" x14ac:dyDescent="0.2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9" x14ac:dyDescent="0.2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9" x14ac:dyDescent="0.2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9" x14ac:dyDescent="0.2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9" x14ac:dyDescent="0.2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9" x14ac:dyDescent="0.2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9" x14ac:dyDescent="0.2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9" x14ac:dyDescent="0.2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9" x14ac:dyDescent="0.2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9" x14ac:dyDescent="0.2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9" x14ac:dyDescent="0.2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9" x14ac:dyDescent="0.2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9" x14ac:dyDescent="0.2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9" x14ac:dyDescent="0.2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9" x14ac:dyDescent="0.2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9" x14ac:dyDescent="0.2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9" x14ac:dyDescent="0.2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9" x14ac:dyDescent="0.2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9" x14ac:dyDescent="0.2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9" x14ac:dyDescent="0.2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9" x14ac:dyDescent="0.2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9" x14ac:dyDescent="0.2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9" x14ac:dyDescent="0.2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9" x14ac:dyDescent="0.2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9" x14ac:dyDescent="0.2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9" x14ac:dyDescent="0.2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9" x14ac:dyDescent="0.2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9" x14ac:dyDescent="0.2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9" x14ac:dyDescent="0.2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9" x14ac:dyDescent="0.2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9" x14ac:dyDescent="0.2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9" x14ac:dyDescent="0.2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9" x14ac:dyDescent="0.2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9" x14ac:dyDescent="0.2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9" x14ac:dyDescent="0.2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9" x14ac:dyDescent="0.2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9" x14ac:dyDescent="0.2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9" x14ac:dyDescent="0.2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9" x14ac:dyDescent="0.2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9" x14ac:dyDescent="0.2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9" x14ac:dyDescent="0.2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9" x14ac:dyDescent="0.2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9" x14ac:dyDescent="0.2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9" x14ac:dyDescent="0.2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9" x14ac:dyDescent="0.2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9" x14ac:dyDescent="0.2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9" x14ac:dyDescent="0.2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9" x14ac:dyDescent="0.2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9" x14ac:dyDescent="0.2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9" x14ac:dyDescent="0.2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9" x14ac:dyDescent="0.2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9" x14ac:dyDescent="0.2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9" x14ac:dyDescent="0.2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9" x14ac:dyDescent="0.2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9" x14ac:dyDescent="0.2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9" x14ac:dyDescent="0.2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9" x14ac:dyDescent="0.2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9" x14ac:dyDescent="0.2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9" x14ac:dyDescent="0.2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9" x14ac:dyDescent="0.2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9" x14ac:dyDescent="0.2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9" x14ac:dyDescent="0.2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9" x14ac:dyDescent="0.2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9" x14ac:dyDescent="0.2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9" x14ac:dyDescent="0.2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9" x14ac:dyDescent="0.2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9" x14ac:dyDescent="0.2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9" x14ac:dyDescent="0.2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9" x14ac:dyDescent="0.2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9" x14ac:dyDescent="0.2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9" x14ac:dyDescent="0.2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9" x14ac:dyDescent="0.2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9" x14ac:dyDescent="0.2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9" x14ac:dyDescent="0.2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9" x14ac:dyDescent="0.2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9" x14ac:dyDescent="0.2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9" x14ac:dyDescent="0.2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9" x14ac:dyDescent="0.2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9" x14ac:dyDescent="0.2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9" x14ac:dyDescent="0.2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9" x14ac:dyDescent="0.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9" x14ac:dyDescent="0.2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9" x14ac:dyDescent="0.2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9" x14ac:dyDescent="0.2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9" x14ac:dyDescent="0.2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9" x14ac:dyDescent="0.2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9" x14ac:dyDescent="0.2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9" x14ac:dyDescent="0.2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9" x14ac:dyDescent="0.2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9" x14ac:dyDescent="0.2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9" x14ac:dyDescent="0.2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9" x14ac:dyDescent="0.2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9" x14ac:dyDescent="0.2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9" x14ac:dyDescent="0.2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9" x14ac:dyDescent="0.2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9" x14ac:dyDescent="0.2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9" x14ac:dyDescent="0.2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9" x14ac:dyDescent="0.2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9" x14ac:dyDescent="0.2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9" x14ac:dyDescent="0.2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9" x14ac:dyDescent="0.2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9" x14ac:dyDescent="0.2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9" x14ac:dyDescent="0.2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9" x14ac:dyDescent="0.2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9" x14ac:dyDescent="0.2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9" x14ac:dyDescent="0.2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9" x14ac:dyDescent="0.2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9" x14ac:dyDescent="0.2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9" x14ac:dyDescent="0.2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9" x14ac:dyDescent="0.2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9" x14ac:dyDescent="0.2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9" x14ac:dyDescent="0.2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9" x14ac:dyDescent="0.2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9" x14ac:dyDescent="0.2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9" x14ac:dyDescent="0.2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9" x14ac:dyDescent="0.2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9" x14ac:dyDescent="0.2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9" x14ac:dyDescent="0.2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9" x14ac:dyDescent="0.2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9" x14ac:dyDescent="0.2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9" x14ac:dyDescent="0.2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9" x14ac:dyDescent="0.2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9" x14ac:dyDescent="0.2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9" x14ac:dyDescent="0.2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9" x14ac:dyDescent="0.2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9" x14ac:dyDescent="0.2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9" x14ac:dyDescent="0.2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9" x14ac:dyDescent="0.2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9" x14ac:dyDescent="0.2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9" x14ac:dyDescent="0.2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9" x14ac:dyDescent="0.2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9" x14ac:dyDescent="0.2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9" x14ac:dyDescent="0.2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9" x14ac:dyDescent="0.2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9" x14ac:dyDescent="0.2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9" x14ac:dyDescent="0.2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9" x14ac:dyDescent="0.2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9" x14ac:dyDescent="0.2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9" x14ac:dyDescent="0.2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9" x14ac:dyDescent="0.2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9" x14ac:dyDescent="0.2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9" x14ac:dyDescent="0.2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9" x14ac:dyDescent="0.2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9" x14ac:dyDescent="0.2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9" x14ac:dyDescent="0.2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9" x14ac:dyDescent="0.2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9" x14ac:dyDescent="0.2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9" x14ac:dyDescent="0.2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9" x14ac:dyDescent="0.2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9" x14ac:dyDescent="0.2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9" x14ac:dyDescent="0.2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9" x14ac:dyDescent="0.2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9" x14ac:dyDescent="0.2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9" x14ac:dyDescent="0.2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9" x14ac:dyDescent="0.2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9" x14ac:dyDescent="0.2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9" x14ac:dyDescent="0.2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9" x14ac:dyDescent="0.2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9" x14ac:dyDescent="0.2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9" x14ac:dyDescent="0.2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9" x14ac:dyDescent="0.2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9" x14ac:dyDescent="0.2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9" x14ac:dyDescent="0.2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9" x14ac:dyDescent="0.2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9" x14ac:dyDescent="0.2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9" x14ac:dyDescent="0.2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9" x14ac:dyDescent="0.2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9" x14ac:dyDescent="0.2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9" x14ac:dyDescent="0.2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9" x14ac:dyDescent="0.2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9" x14ac:dyDescent="0.2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9" x14ac:dyDescent="0.2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9" x14ac:dyDescent="0.2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9" x14ac:dyDescent="0.2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9" x14ac:dyDescent="0.2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9" x14ac:dyDescent="0.2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9" x14ac:dyDescent="0.2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9" x14ac:dyDescent="0.2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9" x14ac:dyDescent="0.2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9" x14ac:dyDescent="0.2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9" x14ac:dyDescent="0.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9" x14ac:dyDescent="0.2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9" x14ac:dyDescent="0.2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9" x14ac:dyDescent="0.2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9" x14ac:dyDescent="0.2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9" x14ac:dyDescent="0.2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9" x14ac:dyDescent="0.2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9" x14ac:dyDescent="0.2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9" x14ac:dyDescent="0.2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9" x14ac:dyDescent="0.2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9" x14ac:dyDescent="0.2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9" x14ac:dyDescent="0.2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9" x14ac:dyDescent="0.2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9" x14ac:dyDescent="0.2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9" x14ac:dyDescent="0.2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9" x14ac:dyDescent="0.2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9" x14ac:dyDescent="0.2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9" x14ac:dyDescent="0.2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9" x14ac:dyDescent="0.2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9" x14ac:dyDescent="0.2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9" x14ac:dyDescent="0.2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9" x14ac:dyDescent="0.2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9" x14ac:dyDescent="0.2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9" x14ac:dyDescent="0.2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9" x14ac:dyDescent="0.2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9" x14ac:dyDescent="0.2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9" x14ac:dyDescent="0.2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9" x14ac:dyDescent="0.2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9" x14ac:dyDescent="0.2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9" x14ac:dyDescent="0.2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9" x14ac:dyDescent="0.2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9" x14ac:dyDescent="0.2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9" x14ac:dyDescent="0.2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9" x14ac:dyDescent="0.2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9" x14ac:dyDescent="0.2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9" x14ac:dyDescent="0.2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9" x14ac:dyDescent="0.2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9" x14ac:dyDescent="0.2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9" x14ac:dyDescent="0.2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9" x14ac:dyDescent="0.2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9" x14ac:dyDescent="0.2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9" x14ac:dyDescent="0.2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9" x14ac:dyDescent="0.2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9" x14ac:dyDescent="0.2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9" x14ac:dyDescent="0.2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9" x14ac:dyDescent="0.2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9" x14ac:dyDescent="0.2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9" x14ac:dyDescent="0.2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9" x14ac:dyDescent="0.2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9" x14ac:dyDescent="0.2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9" x14ac:dyDescent="0.2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9" x14ac:dyDescent="0.2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9" x14ac:dyDescent="0.2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9" x14ac:dyDescent="0.2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9" x14ac:dyDescent="0.2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9" x14ac:dyDescent="0.2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9" x14ac:dyDescent="0.2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9" x14ac:dyDescent="0.2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9" x14ac:dyDescent="0.2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9" x14ac:dyDescent="0.2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9" x14ac:dyDescent="0.2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9" x14ac:dyDescent="0.2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9" x14ac:dyDescent="0.2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9" x14ac:dyDescent="0.2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9" x14ac:dyDescent="0.2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9" x14ac:dyDescent="0.2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9" x14ac:dyDescent="0.2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9" x14ac:dyDescent="0.2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9" x14ac:dyDescent="0.2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9" x14ac:dyDescent="0.2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9" x14ac:dyDescent="0.2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9" x14ac:dyDescent="0.2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9" x14ac:dyDescent="0.2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9" x14ac:dyDescent="0.2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9" x14ac:dyDescent="0.2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9" x14ac:dyDescent="0.2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9" x14ac:dyDescent="0.2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9" x14ac:dyDescent="0.2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9" x14ac:dyDescent="0.2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9" x14ac:dyDescent="0.2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9" x14ac:dyDescent="0.2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9" x14ac:dyDescent="0.2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9" x14ac:dyDescent="0.2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9" x14ac:dyDescent="0.2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9" x14ac:dyDescent="0.2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9" x14ac:dyDescent="0.2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9" x14ac:dyDescent="0.2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9" x14ac:dyDescent="0.2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9" x14ac:dyDescent="0.2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9" x14ac:dyDescent="0.2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9" x14ac:dyDescent="0.2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9" x14ac:dyDescent="0.2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9" x14ac:dyDescent="0.2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9" x14ac:dyDescent="0.2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9" x14ac:dyDescent="0.2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9" x14ac:dyDescent="0.2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9" x14ac:dyDescent="0.2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9" x14ac:dyDescent="0.2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9" x14ac:dyDescent="0.2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9" x14ac:dyDescent="0.2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9" x14ac:dyDescent="0.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9" x14ac:dyDescent="0.2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9" x14ac:dyDescent="0.2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9" x14ac:dyDescent="0.2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9" x14ac:dyDescent="0.2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9" x14ac:dyDescent="0.2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9" x14ac:dyDescent="0.2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9" x14ac:dyDescent="0.2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9" x14ac:dyDescent="0.2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9" x14ac:dyDescent="0.2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9" x14ac:dyDescent="0.2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9" x14ac:dyDescent="0.2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9" x14ac:dyDescent="0.2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9" x14ac:dyDescent="0.2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9" x14ac:dyDescent="0.2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9" x14ac:dyDescent="0.2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9" x14ac:dyDescent="0.2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9" x14ac:dyDescent="0.2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9" x14ac:dyDescent="0.2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9" x14ac:dyDescent="0.2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9" x14ac:dyDescent="0.2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9" x14ac:dyDescent="0.2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9" x14ac:dyDescent="0.2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9" x14ac:dyDescent="0.2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9" x14ac:dyDescent="0.2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9" x14ac:dyDescent="0.2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9" x14ac:dyDescent="0.2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9" x14ac:dyDescent="0.2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9" x14ac:dyDescent="0.2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9" x14ac:dyDescent="0.2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9" x14ac:dyDescent="0.2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9" x14ac:dyDescent="0.2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9" x14ac:dyDescent="0.2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9" x14ac:dyDescent="0.2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9" x14ac:dyDescent="0.2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9" x14ac:dyDescent="0.2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9" x14ac:dyDescent="0.2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9" x14ac:dyDescent="0.2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9" x14ac:dyDescent="0.2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9" x14ac:dyDescent="0.2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9" x14ac:dyDescent="0.2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9" x14ac:dyDescent="0.2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9" x14ac:dyDescent="0.2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9" x14ac:dyDescent="0.2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9" x14ac:dyDescent="0.2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9" x14ac:dyDescent="0.2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9" x14ac:dyDescent="0.2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9" x14ac:dyDescent="0.2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9" x14ac:dyDescent="0.2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9" x14ac:dyDescent="0.2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9" x14ac:dyDescent="0.2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9" x14ac:dyDescent="0.2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9" x14ac:dyDescent="0.2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9" x14ac:dyDescent="0.2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9" x14ac:dyDescent="0.2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9" x14ac:dyDescent="0.2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9" x14ac:dyDescent="0.2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9" x14ac:dyDescent="0.2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9" x14ac:dyDescent="0.2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9" x14ac:dyDescent="0.2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9" x14ac:dyDescent="0.2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9" x14ac:dyDescent="0.2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9" x14ac:dyDescent="0.2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9" x14ac:dyDescent="0.2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9" x14ac:dyDescent="0.2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9" x14ac:dyDescent="0.2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9" x14ac:dyDescent="0.2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9" x14ac:dyDescent="0.2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9" x14ac:dyDescent="0.2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9" x14ac:dyDescent="0.2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9" x14ac:dyDescent="0.2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9" x14ac:dyDescent="0.2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9" x14ac:dyDescent="0.2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9" x14ac:dyDescent="0.2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9" x14ac:dyDescent="0.2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9" x14ac:dyDescent="0.2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9" x14ac:dyDescent="0.2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9" x14ac:dyDescent="0.2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9" x14ac:dyDescent="0.2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9" x14ac:dyDescent="0.2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9" x14ac:dyDescent="0.2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9" x14ac:dyDescent="0.2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9" x14ac:dyDescent="0.2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9" x14ac:dyDescent="0.2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9" x14ac:dyDescent="0.2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9" x14ac:dyDescent="0.2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9" x14ac:dyDescent="0.2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9" x14ac:dyDescent="0.2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9" x14ac:dyDescent="0.2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9" x14ac:dyDescent="0.2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9" x14ac:dyDescent="0.2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9" x14ac:dyDescent="0.2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9" x14ac:dyDescent="0.2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9" x14ac:dyDescent="0.2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9" x14ac:dyDescent="0.2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9" x14ac:dyDescent="0.2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9" x14ac:dyDescent="0.2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9" x14ac:dyDescent="0.2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9" x14ac:dyDescent="0.2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9" x14ac:dyDescent="0.2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9" x14ac:dyDescent="0.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9" x14ac:dyDescent="0.2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9" x14ac:dyDescent="0.2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9" x14ac:dyDescent="0.2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9" x14ac:dyDescent="0.2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9" x14ac:dyDescent="0.2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9" x14ac:dyDescent="0.2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9" x14ac:dyDescent="0.2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9" x14ac:dyDescent="0.2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9" x14ac:dyDescent="0.2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9" x14ac:dyDescent="0.2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9" x14ac:dyDescent="0.2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9" x14ac:dyDescent="0.2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9" x14ac:dyDescent="0.2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9" x14ac:dyDescent="0.2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9" x14ac:dyDescent="0.2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9" x14ac:dyDescent="0.2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9" x14ac:dyDescent="0.2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9" x14ac:dyDescent="0.2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9" x14ac:dyDescent="0.2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9" x14ac:dyDescent="0.2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9" x14ac:dyDescent="0.2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9" x14ac:dyDescent="0.2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9" x14ac:dyDescent="0.2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9" x14ac:dyDescent="0.2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9" x14ac:dyDescent="0.2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9" x14ac:dyDescent="0.2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9" x14ac:dyDescent="0.2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9" x14ac:dyDescent="0.2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9" x14ac:dyDescent="0.2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9" x14ac:dyDescent="0.2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9" x14ac:dyDescent="0.2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9" x14ac:dyDescent="0.2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9" x14ac:dyDescent="0.2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9" x14ac:dyDescent="0.2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9" x14ac:dyDescent="0.2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9" x14ac:dyDescent="0.2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9" x14ac:dyDescent="0.2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9" x14ac:dyDescent="0.2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9" x14ac:dyDescent="0.2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9" x14ac:dyDescent="0.2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9" x14ac:dyDescent="0.2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9" x14ac:dyDescent="0.2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9" x14ac:dyDescent="0.2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9" x14ac:dyDescent="0.2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9" x14ac:dyDescent="0.2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9" x14ac:dyDescent="0.2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9" x14ac:dyDescent="0.2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9" x14ac:dyDescent="0.2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9" x14ac:dyDescent="0.2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9" x14ac:dyDescent="0.2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9" x14ac:dyDescent="0.2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9" x14ac:dyDescent="0.2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9" x14ac:dyDescent="0.2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9" x14ac:dyDescent="0.2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9" x14ac:dyDescent="0.2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9" x14ac:dyDescent="0.2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9" x14ac:dyDescent="0.2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9" x14ac:dyDescent="0.2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9" x14ac:dyDescent="0.2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9" x14ac:dyDescent="0.2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9" x14ac:dyDescent="0.2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9" x14ac:dyDescent="0.2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9" x14ac:dyDescent="0.2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9" x14ac:dyDescent="0.2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9" x14ac:dyDescent="0.2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9" x14ac:dyDescent="0.2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9" x14ac:dyDescent="0.2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9" x14ac:dyDescent="0.2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9" x14ac:dyDescent="0.2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9" x14ac:dyDescent="0.2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9" x14ac:dyDescent="0.2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9" x14ac:dyDescent="0.2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9" x14ac:dyDescent="0.2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9" x14ac:dyDescent="0.2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9" x14ac:dyDescent="0.2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9" x14ac:dyDescent="0.2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9" x14ac:dyDescent="0.2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9" x14ac:dyDescent="0.2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9" x14ac:dyDescent="0.2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9" x14ac:dyDescent="0.2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9" x14ac:dyDescent="0.2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9" x14ac:dyDescent="0.2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9" x14ac:dyDescent="0.2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9" x14ac:dyDescent="0.2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9" x14ac:dyDescent="0.2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9" x14ac:dyDescent="0.2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9" x14ac:dyDescent="0.2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9" x14ac:dyDescent="0.2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9" x14ac:dyDescent="0.2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9" x14ac:dyDescent="0.2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9" x14ac:dyDescent="0.2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9" x14ac:dyDescent="0.2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9" x14ac:dyDescent="0.2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9" x14ac:dyDescent="0.2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9" x14ac:dyDescent="0.2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9" x14ac:dyDescent="0.2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9" x14ac:dyDescent="0.2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9" x14ac:dyDescent="0.2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9" x14ac:dyDescent="0.2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9" x14ac:dyDescent="0.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9" x14ac:dyDescent="0.2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9" x14ac:dyDescent="0.2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9" x14ac:dyDescent="0.2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9" x14ac:dyDescent="0.2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9" x14ac:dyDescent="0.2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9" x14ac:dyDescent="0.2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9" x14ac:dyDescent="0.2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9" x14ac:dyDescent="0.2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9" x14ac:dyDescent="0.2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9" x14ac:dyDescent="0.2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9" x14ac:dyDescent="0.2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9" x14ac:dyDescent="0.2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9" x14ac:dyDescent="0.2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9" x14ac:dyDescent="0.2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9" x14ac:dyDescent="0.2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9" x14ac:dyDescent="0.2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9" x14ac:dyDescent="0.2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9" x14ac:dyDescent="0.2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9" x14ac:dyDescent="0.2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9" x14ac:dyDescent="0.2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9" x14ac:dyDescent="0.2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9" x14ac:dyDescent="0.2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9" x14ac:dyDescent="0.2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9" x14ac:dyDescent="0.2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9" x14ac:dyDescent="0.2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9" x14ac:dyDescent="0.2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9" x14ac:dyDescent="0.2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9" x14ac:dyDescent="0.2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9" x14ac:dyDescent="0.2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9" x14ac:dyDescent="0.2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9" x14ac:dyDescent="0.2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9" x14ac:dyDescent="0.2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9" x14ac:dyDescent="0.2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9" x14ac:dyDescent="0.2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9" x14ac:dyDescent="0.2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9" x14ac:dyDescent="0.2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9" x14ac:dyDescent="0.2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9" x14ac:dyDescent="0.2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9" x14ac:dyDescent="0.2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9" x14ac:dyDescent="0.2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9" x14ac:dyDescent="0.2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9" x14ac:dyDescent="0.2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9" x14ac:dyDescent="0.2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9" x14ac:dyDescent="0.2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9" x14ac:dyDescent="0.2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9" x14ac:dyDescent="0.2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9" x14ac:dyDescent="0.2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9" x14ac:dyDescent="0.2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9" x14ac:dyDescent="0.2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9" x14ac:dyDescent="0.2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9" x14ac:dyDescent="0.2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9" x14ac:dyDescent="0.2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9" x14ac:dyDescent="0.2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9" x14ac:dyDescent="0.2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9" x14ac:dyDescent="0.2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9" x14ac:dyDescent="0.2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9" x14ac:dyDescent="0.2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9" x14ac:dyDescent="0.2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9" x14ac:dyDescent="0.2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9" x14ac:dyDescent="0.2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9" x14ac:dyDescent="0.2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9" x14ac:dyDescent="0.2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9" x14ac:dyDescent="0.2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9" x14ac:dyDescent="0.2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9" x14ac:dyDescent="0.2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9" x14ac:dyDescent="0.2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9" x14ac:dyDescent="0.2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9" x14ac:dyDescent="0.2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9" x14ac:dyDescent="0.2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9" x14ac:dyDescent="0.2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9" x14ac:dyDescent="0.2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9" x14ac:dyDescent="0.2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9" x14ac:dyDescent="0.2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9" x14ac:dyDescent="0.2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9" x14ac:dyDescent="0.2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9" x14ac:dyDescent="0.2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9" x14ac:dyDescent="0.2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9" x14ac:dyDescent="0.2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9" x14ac:dyDescent="0.2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9" x14ac:dyDescent="0.2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9" x14ac:dyDescent="0.2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9" x14ac:dyDescent="0.2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9" x14ac:dyDescent="0.2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9" x14ac:dyDescent="0.2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9" x14ac:dyDescent="0.2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9" x14ac:dyDescent="0.2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9" x14ac:dyDescent="0.2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9" x14ac:dyDescent="0.2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9" x14ac:dyDescent="0.2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9" x14ac:dyDescent="0.2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9" x14ac:dyDescent="0.2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9" x14ac:dyDescent="0.2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9" x14ac:dyDescent="0.2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9" x14ac:dyDescent="0.2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9" x14ac:dyDescent="0.2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9" x14ac:dyDescent="0.2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9" x14ac:dyDescent="0.2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9" x14ac:dyDescent="0.2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9" x14ac:dyDescent="0.2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9" x14ac:dyDescent="0.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9" x14ac:dyDescent="0.2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9" x14ac:dyDescent="0.2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9" x14ac:dyDescent="0.2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9" x14ac:dyDescent="0.2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9" x14ac:dyDescent="0.2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9" x14ac:dyDescent="0.2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9" x14ac:dyDescent="0.2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9" x14ac:dyDescent="0.2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9" x14ac:dyDescent="0.2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9" x14ac:dyDescent="0.2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9" x14ac:dyDescent="0.2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9" x14ac:dyDescent="0.2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9" x14ac:dyDescent="0.2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9" x14ac:dyDescent="0.2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9" x14ac:dyDescent="0.2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9" x14ac:dyDescent="0.2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9" x14ac:dyDescent="0.2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9" x14ac:dyDescent="0.2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9" x14ac:dyDescent="0.2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9" x14ac:dyDescent="0.2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9" x14ac:dyDescent="0.2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9" x14ac:dyDescent="0.2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9" x14ac:dyDescent="0.2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9" x14ac:dyDescent="0.2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9" x14ac:dyDescent="0.2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9" x14ac:dyDescent="0.2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9" x14ac:dyDescent="0.2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9" x14ac:dyDescent="0.2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9" x14ac:dyDescent="0.2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9" x14ac:dyDescent="0.2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9" x14ac:dyDescent="0.2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9" x14ac:dyDescent="0.2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9" x14ac:dyDescent="0.2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9" x14ac:dyDescent="0.2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9" x14ac:dyDescent="0.2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9" x14ac:dyDescent="0.2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9" x14ac:dyDescent="0.2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9" x14ac:dyDescent="0.2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9" x14ac:dyDescent="0.2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9" x14ac:dyDescent="0.2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9" x14ac:dyDescent="0.2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9" x14ac:dyDescent="0.2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9" x14ac:dyDescent="0.2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9" x14ac:dyDescent="0.2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9" x14ac:dyDescent="0.2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9" x14ac:dyDescent="0.2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9" x14ac:dyDescent="0.2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9" x14ac:dyDescent="0.2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9" x14ac:dyDescent="0.2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9" x14ac:dyDescent="0.2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9" x14ac:dyDescent="0.2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9" x14ac:dyDescent="0.2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9" x14ac:dyDescent="0.2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9" x14ac:dyDescent="0.2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9" x14ac:dyDescent="0.2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9" x14ac:dyDescent="0.2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9" x14ac:dyDescent="0.2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9" x14ac:dyDescent="0.2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9" x14ac:dyDescent="0.2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9" x14ac:dyDescent="0.2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9" x14ac:dyDescent="0.2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9" x14ac:dyDescent="0.2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9" x14ac:dyDescent="0.2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9" x14ac:dyDescent="0.2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9" x14ac:dyDescent="0.2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9" x14ac:dyDescent="0.2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9" x14ac:dyDescent="0.2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9" x14ac:dyDescent="0.2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9" x14ac:dyDescent="0.2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9" x14ac:dyDescent="0.2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9" x14ac:dyDescent="0.2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9" x14ac:dyDescent="0.2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9" x14ac:dyDescent="0.2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9" x14ac:dyDescent="0.2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9" x14ac:dyDescent="0.2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9" x14ac:dyDescent="0.25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1:26" ht="19" x14ac:dyDescent="0.25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:26" ht="19" x14ac:dyDescent="0.25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Enrollment Count</vt:lpstr>
      <vt:lpstr>4Ps Children Count</vt:lpstr>
      <vt:lpstr>Enrollment Numbers Final</vt:lpstr>
      <vt:lpstr>Public Schools Count 2020</vt:lpstr>
      <vt:lpstr>4Ps Share in Enrollment DepEd</vt:lpstr>
      <vt:lpstr>Public and Private Schools 2021</vt:lpstr>
      <vt:lpstr>Classroom Ratio</vt:lpstr>
      <vt:lpstr>Teacher Ratio</vt:lpstr>
      <vt:lpstr>Educ Perf Ranking</vt:lpstr>
      <vt:lpstr>ENROLLMENT RATE</vt:lpstr>
      <vt:lpstr>Matrix Chart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Earl Spencer Aynera</cp:lastModifiedBy>
  <dcterms:created xsi:type="dcterms:W3CDTF">2025-11-04T11:35:45Z</dcterms:created>
  <dcterms:modified xsi:type="dcterms:W3CDTF">2025-11-17T03:07:18Z</dcterms:modified>
</cp:coreProperties>
</file>