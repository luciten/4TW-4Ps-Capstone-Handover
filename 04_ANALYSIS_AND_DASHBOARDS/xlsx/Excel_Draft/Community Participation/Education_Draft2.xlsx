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mariancorsado/Downloads/"/>
    </mc:Choice>
  </mc:AlternateContent>
  <xr:revisionPtr revIDLastSave="0" documentId="13_ncr:1_{EEFCD65D-5D76-2E4B-9FF5-048DB70AC6F4}" xr6:coauthVersionLast="47" xr6:coauthVersionMax="47" xr10:uidLastSave="{00000000-0000-0000-0000-000000000000}"/>
  <bookViews>
    <workbookView xWindow="0" yWindow="760" windowWidth="29400" windowHeight="16940" xr2:uid="{00000000-000D-0000-FFFF-FFFF00000000}"/>
  </bookViews>
  <sheets>
    <sheet name="4Ps Children Count" sheetId="1" r:id="rId1"/>
    <sheet name="ENROLLMENT RATE" sheetId="23" r:id="rId2"/>
    <sheet name="Matrix Chart" sheetId="21" r:id="rId3"/>
    <sheet name="Notes" sheetId="6" r:id="rId4"/>
  </sheets>
  <definedNames>
    <definedName name="_xlnm._FilterDatabase" localSheetId="0" hidden="1">'4Ps Children Count'!$A$1:$F$265</definedName>
    <definedName name="_xlnm._FilterDatabase" localSheetId="1" hidden="1">'ENROLLMENT RATE'!$A$1:$F$18</definedName>
  </definedNames>
  <calcPr calcId="191029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1" l="1"/>
  <c r="F18" i="23"/>
  <c r="C18" i="21" s="1"/>
  <c r="F17" i="23"/>
  <c r="C17" i="21" s="1"/>
  <c r="F16" i="23"/>
  <c r="C11" i="21" s="1"/>
  <c r="F15" i="23"/>
  <c r="C14" i="21" s="1"/>
  <c r="F14" i="23"/>
  <c r="C13" i="21" s="1"/>
  <c r="F13" i="23"/>
  <c r="C16" i="21" s="1"/>
  <c r="F12" i="23"/>
  <c r="C10" i="21" s="1"/>
  <c r="F11" i="23"/>
  <c r="C15" i="21" s="1"/>
  <c r="E15" i="21" s="1"/>
  <c r="F10" i="23"/>
  <c r="C12" i="21" s="1"/>
  <c r="F9" i="23"/>
  <c r="C2" i="21" s="1"/>
  <c r="E2" i="21" s="1"/>
  <c r="F8" i="23"/>
  <c r="C9" i="21" s="1"/>
  <c r="F7" i="23"/>
  <c r="C8" i="21" s="1"/>
  <c r="F6" i="23"/>
  <c r="C3" i="21" s="1"/>
  <c r="F5" i="23"/>
  <c r="C7" i="21" s="1"/>
  <c r="F4" i="23"/>
  <c r="C6" i="21" s="1"/>
  <c r="F3" i="23"/>
  <c r="C4" i="21" s="1"/>
  <c r="F2" i="23"/>
  <c r="C5" i="21" s="1"/>
  <c r="E13" i="21" l="1"/>
  <c r="E4" i="21"/>
  <c r="E11" i="21"/>
  <c r="E17" i="21"/>
  <c r="E8" i="21"/>
  <c r="E3" i="21"/>
  <c r="E12" i="21"/>
  <c r="E16" i="21"/>
  <c r="E6" i="21"/>
  <c r="E5" i="21"/>
  <c r="E9" i="21"/>
  <c r="E10" i="21"/>
  <c r="E18" i="21"/>
  <c r="E7" i="21"/>
  <c r="E14" i="21"/>
  <c r="F20" i="23"/>
  <c r="G13" i="23" s="1"/>
  <c r="D17" i="21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8" i="21"/>
  <c r="G9" i="23" l="1"/>
  <c r="G17" i="23"/>
  <c r="G14" i="23"/>
  <c r="G10" i="23"/>
  <c r="G15" i="23"/>
  <c r="G18" i="23"/>
  <c r="G6" i="23"/>
  <c r="G7" i="23"/>
  <c r="G11" i="23"/>
  <c r="G2" i="23"/>
  <c r="G16" i="23"/>
  <c r="G8" i="23"/>
  <c r="G5" i="23"/>
  <c r="G4" i="23"/>
  <c r="G12" i="23"/>
  <c r="G3" i="23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7" i="1"/>
</calcChain>
</file>

<file path=xl/sharedStrings.xml><?xml version="1.0" encoding="utf-8"?>
<sst xmlns="http://schemas.openxmlformats.org/spreadsheetml/2006/main" count="1167" uniqueCount="55">
  <si>
    <t>Region</t>
  </si>
  <si>
    <t>Age</t>
  </si>
  <si>
    <t>Total</t>
  </si>
  <si>
    <t>Island</t>
  </si>
  <si>
    <t>Quarter</t>
  </si>
  <si>
    <t>Year</t>
  </si>
  <si>
    <t>SUM of Total</t>
  </si>
  <si>
    <t>NCR</t>
  </si>
  <si>
    <t>0-2</t>
  </si>
  <si>
    <t>Luzon</t>
  </si>
  <si>
    <t>Q1</t>
  </si>
  <si>
    <t>BARMM</t>
  </si>
  <si>
    <t>3-5</t>
  </si>
  <si>
    <t>CAR</t>
  </si>
  <si>
    <t>6-14</t>
  </si>
  <si>
    <t>I</t>
  </si>
  <si>
    <t>15-18</t>
  </si>
  <si>
    <t>II</t>
  </si>
  <si>
    <t>III</t>
  </si>
  <si>
    <t>IV-A</t>
  </si>
  <si>
    <t>IX</t>
  </si>
  <si>
    <t>MIMAROPA</t>
  </si>
  <si>
    <t>V</t>
  </si>
  <si>
    <t>VI</t>
  </si>
  <si>
    <t>VII</t>
  </si>
  <si>
    <t>VIII</t>
  </si>
  <si>
    <t>X</t>
  </si>
  <si>
    <t>XI</t>
  </si>
  <si>
    <t>XII</t>
  </si>
  <si>
    <t>XIII</t>
  </si>
  <si>
    <t>Grand Total</t>
  </si>
  <si>
    <t>Visayas</t>
  </si>
  <si>
    <t>Mindanao</t>
  </si>
  <si>
    <t>Q2</t>
  </si>
  <si>
    <t>Q3</t>
  </si>
  <si>
    <t>Q4</t>
  </si>
  <si>
    <t>Median</t>
  </si>
  <si>
    <t>Notes:</t>
  </si>
  <si>
    <t>* Q1 (Jan-Mar): Count is before the school year starts, so it doesn't match the enrolled students.</t>
  </si>
  <si>
    <t>* Q2 (Apr-Jun): Data is incomplete for some regions, which would make the analysis unfair.</t>
  </si>
  <si>
    <t>* Q3 (Jul-Sep): Data is incomplete for some regions, which would make the analysis unfair.</t>
  </si>
  <si>
    <t>* Q4 (Oct-Dec): The data is complete for all regions, and it's taken during the school year when children should be enrolled.</t>
  </si>
  <si>
    <t>(All)</t>
  </si>
  <si>
    <r>
      <t xml:space="preserve">4Ps Children Count per Quarter: </t>
    </r>
    <r>
      <rPr>
        <b/>
        <sz val="14"/>
        <color rgb="FF000000"/>
        <rFont val="Calibri"/>
        <family val="2"/>
      </rPr>
      <t>Median Value is used to account for all quarters</t>
    </r>
  </si>
  <si>
    <t>IV-B</t>
  </si>
  <si>
    <t>JHS</t>
  </si>
  <si>
    <t>SHS</t>
  </si>
  <si>
    <t>Adjusted X</t>
  </si>
  <si>
    <t>Adjusted Y</t>
  </si>
  <si>
    <t>4Ps Member/Children Count</t>
  </si>
  <si>
    <t>Enrollment Rate</t>
  </si>
  <si>
    <t>KINDER</t>
  </si>
  <si>
    <t>ELEM</t>
  </si>
  <si>
    <t>Average</t>
  </si>
  <si>
    <t>Enrollment Rate: SY 2019-2020 from DepEd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</si>
</sst>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1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Helvetica Neue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4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vertical="top"/>
    </xf>
    <xf numFmtId="49" fontId="2" fillId="2" borderId="0" xfId="0" applyNumberFormat="1" applyFont="1" applyFill="1" applyAlignment="1">
      <alignment vertical="top"/>
    </xf>
    <xf numFmtId="0" fontId="2" fillId="2" borderId="0" xfId="0" applyFont="1" applyFill="1" applyAlignment="1">
      <alignment horizontal="right" vertical="top"/>
    </xf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6" xfId="0" pivotButton="1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0" borderId="0" xfId="0" applyFont="1"/>
    <xf numFmtId="0" fontId="6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1" fontId="4" fillId="4" borderId="0" xfId="0" applyNumberFormat="1" applyFont="1" applyFill="1" applyAlignment="1">
      <alignment horizontal="center"/>
    </xf>
    <xf numFmtId="1" fontId="7" fillId="0" borderId="0" xfId="0" applyNumberFormat="1" applyFont="1" applyAlignment="1">
      <alignment horizontal="center"/>
    </xf>
    <xf numFmtId="0" fontId="3" fillId="0" borderId="0" xfId="0" applyFont="1"/>
    <xf numFmtId="0" fontId="9" fillId="2" borderId="0" xfId="0" applyFont="1" applyFill="1"/>
    <xf numFmtId="0" fontId="9" fillId="3" borderId="0" xfId="0" applyFont="1" applyFill="1"/>
    <xf numFmtId="0" fontId="9" fillId="0" borderId="0" xfId="0" applyFont="1"/>
    <xf numFmtId="0" fontId="10" fillId="2" borderId="0" xfId="0" applyFont="1" applyFill="1"/>
    <xf numFmtId="0" fontId="6" fillId="4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/>
    <xf numFmtId="0" fontId="4" fillId="0" borderId="0" xfId="0" applyFont="1" applyAlignment="1">
      <alignment horizontal="center"/>
    </xf>
    <xf numFmtId="165" fontId="7" fillId="0" borderId="0" xfId="1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165" fontId="0" fillId="5" borderId="0" xfId="1" applyNumberFormat="1" applyFont="1" applyFill="1" applyAlignment="1">
      <alignment horizontal="center"/>
    </xf>
    <xf numFmtId="165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8" fillId="2" borderId="0" xfId="0" applyFont="1" applyFill="1" applyAlignment="1">
      <alignment horizontal="center"/>
    </xf>
    <xf numFmtId="0" fontId="9" fillId="0" borderId="0" xfId="0" applyFont="1"/>
    <xf numFmtId="0" fontId="0" fillId="0" borderId="1" xfId="0" applyNumberFormat="1" applyBorder="1"/>
    <xf numFmtId="0" fontId="0" fillId="0" borderId="9" xfId="0" applyNumberFormat="1" applyBorder="1"/>
    <xf numFmtId="0" fontId="0" fillId="0" borderId="2" xfId="0" applyNumberFormat="1" applyBorder="1"/>
    <xf numFmtId="0" fontId="0" fillId="0" borderId="3" xfId="0" applyNumberFormat="1" applyBorder="1"/>
    <xf numFmtId="0" fontId="0" fillId="0" borderId="0" xfId="0" applyNumberFormat="1"/>
    <xf numFmtId="0" fontId="0" fillId="0" borderId="4" xfId="0" applyNumberFormat="1" applyBorder="1"/>
    <xf numFmtId="0" fontId="0" fillId="0" borderId="5" xfId="0" applyNumberFormat="1" applyBorder="1"/>
    <xf numFmtId="0" fontId="0" fillId="0" borderId="10" xfId="0" applyNumberFormat="1" applyBorder="1"/>
    <xf numFmtId="0" fontId="0" fillId="0" borderId="6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417FB7"/>
      <color rgb="FF4C8DFF"/>
      <color rgb="FF407F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200">
                <a:solidFill>
                  <a:sysClr val="windowText" lastClr="000000"/>
                </a:solidFill>
              </a:rPr>
              <a:t>K-12 Enrollment Rate SY</a:t>
            </a:r>
            <a:r>
              <a:rPr lang="en-US" sz="2200" baseline="0">
                <a:solidFill>
                  <a:sysClr val="windowText" lastClr="000000"/>
                </a:solidFill>
              </a:rPr>
              <a:t> 2019-2020</a:t>
            </a:r>
            <a:endParaRPr lang="en-US" sz="22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'ENROLLMENT RATE'!$F$1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84-FC47-AAFB-A1831CDBAF28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284-FC47-AAFB-A1831CDBAF28}"/>
              </c:ext>
            </c:extLst>
          </c:dPt>
          <c:dLbls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284-FC47-AAFB-A1831CDBAF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'ENROLLMENT RATE'!$A$2:$A$18</c:f>
              <c:strCache>
                <c:ptCount val="17"/>
                <c:pt idx="0">
                  <c:v>III</c:v>
                </c:pt>
                <c:pt idx="1">
                  <c:v>IV-A</c:v>
                </c:pt>
                <c:pt idx="2">
                  <c:v>II</c:v>
                </c:pt>
                <c:pt idx="3">
                  <c:v>VII</c:v>
                </c:pt>
                <c:pt idx="4">
                  <c:v>NCR</c:v>
                </c:pt>
                <c:pt idx="5">
                  <c:v>I</c:v>
                </c:pt>
                <c:pt idx="6">
                  <c:v>VI</c:v>
                </c:pt>
                <c:pt idx="7">
                  <c:v>CAR</c:v>
                </c:pt>
                <c:pt idx="8">
                  <c:v>X</c:v>
                </c:pt>
                <c:pt idx="9">
                  <c:v>XIII</c:v>
                </c:pt>
                <c:pt idx="10">
                  <c:v>XI</c:v>
                </c:pt>
                <c:pt idx="11">
                  <c:v>V</c:v>
                </c:pt>
                <c:pt idx="12">
                  <c:v>IV-B</c:v>
                </c:pt>
                <c:pt idx="13">
                  <c:v>VIII</c:v>
                </c:pt>
                <c:pt idx="14">
                  <c:v>XII</c:v>
                </c:pt>
                <c:pt idx="15">
                  <c:v>IX</c:v>
                </c:pt>
                <c:pt idx="16">
                  <c:v>BARMM</c:v>
                </c:pt>
              </c:strCache>
            </c:strRef>
          </c:cat>
          <c:val>
            <c:numRef>
              <c:f>'ENROLLMENT RATE'!$F$2:$F$18</c:f>
              <c:numCache>
                <c:formatCode>0.0%</c:formatCode>
                <c:ptCount val="17"/>
                <c:pt idx="0">
                  <c:v>0.78194999999999992</c:v>
                </c:pt>
                <c:pt idx="1">
                  <c:v>0.76560000000000006</c:v>
                </c:pt>
                <c:pt idx="2">
                  <c:v>0.76222499999999993</c:v>
                </c:pt>
                <c:pt idx="3">
                  <c:v>0.75974999999999993</c:v>
                </c:pt>
                <c:pt idx="4">
                  <c:v>0.74759999999999993</c:v>
                </c:pt>
                <c:pt idx="5">
                  <c:v>0.74620000000000009</c:v>
                </c:pt>
                <c:pt idx="6">
                  <c:v>0.73492500000000005</c:v>
                </c:pt>
                <c:pt idx="7">
                  <c:v>0.72252499999999997</c:v>
                </c:pt>
                <c:pt idx="8">
                  <c:v>0.71847499999999997</c:v>
                </c:pt>
                <c:pt idx="9">
                  <c:v>0.70530000000000004</c:v>
                </c:pt>
                <c:pt idx="10">
                  <c:v>0.70322499999999988</c:v>
                </c:pt>
                <c:pt idx="11">
                  <c:v>0.70209999999999995</c:v>
                </c:pt>
                <c:pt idx="12">
                  <c:v>0.689975</c:v>
                </c:pt>
                <c:pt idx="13">
                  <c:v>0.68869999999999987</c:v>
                </c:pt>
                <c:pt idx="14">
                  <c:v>0.67497499999999988</c:v>
                </c:pt>
                <c:pt idx="15">
                  <c:v>0.66402500000000009</c:v>
                </c:pt>
                <c:pt idx="16">
                  <c:v>0.43057499999999999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4-FC47-AAFB-A1831CDBA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619027216"/>
        <c:axId val="619029856"/>
      </c:barChart>
      <c:catAx>
        <c:axId val="61902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29856"/>
        <c:crosses val="autoZero"/>
        <c:auto val="1"/>
        <c:lblAlgn val="ctr"/>
        <c:lblOffset val="100"/>
        <c:noMultiLvlLbl val="0"/>
      </c:catAx>
      <c:valAx>
        <c:axId val="61902985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2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'Matrix Chart'!$E$1</c:f>
              <c:strCache>
                <c:ptCount val="1"/>
                <c:pt idx="0">
                  <c:v>Adjusted 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41FB-8A4F-A8DB-9DFB5F68D613}"/>
              </c:ext>
            </c:extLst>
          </c:dPt>
          <c:dPt>
            <c:idx val="11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41FB-8A4F-A8DB-9DFB5F68D613}"/>
              </c:ext>
            </c:extLst>
          </c:dPt>
          <c:dPt>
            <c:idx val="14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41FB-8A4F-A8DB-9DFB5F68D613}"/>
              </c:ext>
            </c:extLst>
          </c:dPt>
          <c:dLbls>
            <c:dLbl>
              <c:idx val="0"/>
              <c:layout>
                <c:manualLayout>
                  <c:x val="-4.2257461691911781E-2"/>
                  <c:y val="-2.4944001239137415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12DD3FC-6ED9-714A-821D-2FE4C267E5DC}" type="CELLRANGE">
                      <a:rPr lang="en-US"/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223984950568184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1FB-8A4F-A8DB-9DFB5F68D613}"/>
                </c:ext>
              </c:extLst>
            </c:dLbl>
            <c:dLbl>
              <c:idx val="1"/>
              <c:layout>
                <c:manualLayout>
                  <c:x val="-6.519555947013625E-2"/>
                  <c:y val="-1.7831883986666831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F7D2AF8-7C5A-EA44-894F-CFF5C16C9311}" type="CELLRANGE">
                      <a:rPr lang="en-US"/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2855743177325016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1FB-8A4F-A8DB-9DFB5F68D613}"/>
                </c:ext>
              </c:extLst>
            </c:dLbl>
            <c:dLbl>
              <c:idx val="2"/>
              <c:layout>
                <c:manualLayout>
                  <c:x val="-1.9996454769481285E-2"/>
                  <c:y val="-2.2503220902543728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FB9AD33-E156-7448-916F-AF4464DE8897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4667184345539711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41FB-8A4F-A8DB-9DFB5F68D613}"/>
                </c:ext>
              </c:extLst>
            </c:dLbl>
            <c:dLbl>
              <c:idx val="3"/>
              <c:layout>
                <c:manualLayout>
                  <c:x val="-2.4857484511904532E-2"/>
                  <c:y val="-2.3457717300679096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AC3CBB6-5AA8-C641-9C8A-0AB2D344E0B2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3470753120433828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1FB-8A4F-A8DB-9DFB5F68D613}"/>
                </c:ext>
              </c:extLst>
            </c:dLbl>
            <c:dLbl>
              <c:idx val="4"/>
              <c:layout>
                <c:manualLayout>
                  <c:x val="-2.4999582763689899E-2"/>
                  <c:y val="-1.5387827195699557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9EBFF0C-DCCD-B849-AC43-9F1272F00BC4}" type="CELLRANGE">
                      <a:rPr lang="en-US"/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5267310439647968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41FB-8A4F-A8DB-9DFB5F68D613}"/>
                </c:ext>
              </c:extLst>
            </c:dLbl>
            <c:dLbl>
              <c:idx val="5"/>
              <c:layout>
                <c:manualLayout>
                  <c:x val="-3.0567829684439857E-2"/>
                  <c:y val="1.7231033043686964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bg1">
                            <a:alpha val="99318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ED69F98-BCFC-D049-B19E-0B80E981B851}" type="CELLRANGE">
                      <a:rPr lang="en-US">
                        <a:ln>
                          <a:noFill/>
                        </a:ln>
                        <a:solidFill>
                          <a:schemeClr val="bg1">
                            <a:alpha val="99318"/>
                          </a:schemeClr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bg1">
                              <a:alpha val="99318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bg1">
                          <a:alpha val="99318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4967247392593841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1FB-8A4F-A8DB-9DFB5F68D613}"/>
                </c:ext>
              </c:extLst>
            </c:dLbl>
            <c:dLbl>
              <c:idx val="6"/>
              <c:layout>
                <c:manualLayout>
                  <c:x val="-8.1437445677924963E-2"/>
                  <c:y val="-1.0670691366500788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CB0E6BB-D133-6D47-A364-CF4D5A0FE056}" type="CELLRANGE">
                      <a:rPr lang="en-US"/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1.7063867758862112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41FB-8A4F-A8DB-9DFB5F68D613}"/>
                </c:ext>
              </c:extLst>
            </c:dLbl>
            <c:dLbl>
              <c:idx val="7"/>
              <c:layout>
                <c:manualLayout>
                  <c:x val="-1.6166806916696114E-2"/>
                  <c:y val="-6.2696902387332264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1B8F318-E67D-834F-A6C3-F8016BEEEB0D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6763804711807985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41FB-8A4F-A8DB-9DFB5F68D613}"/>
                </c:ext>
              </c:extLst>
            </c:dLbl>
            <c:dLbl>
              <c:idx val="8"/>
              <c:layout>
                <c:manualLayout>
                  <c:x val="-4.2702092899763573E-2"/>
                  <c:y val="3.6520642090006029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1815C81-0246-0A4C-A101-D4C26180238D}" type="CELLRANGE">
                      <a:rPr lang="en-US"/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6763804711807985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41FB-8A4F-A8DB-9DFB5F68D613}"/>
                </c:ext>
              </c:extLst>
            </c:dLbl>
            <c:dLbl>
              <c:idx val="9"/>
              <c:layout>
                <c:manualLayout>
                  <c:x val="-5.2747389088464013E-2"/>
                  <c:y val="6.7159097457082442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90EF38E-8EDB-E74B-92E6-58E20D6FE686}" type="CELLRANGE">
                      <a:rPr lang="en-US"/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4967247392593841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41FB-8A4F-A8DB-9DFB5F68D613}"/>
                </c:ext>
              </c:extLst>
            </c:dLbl>
            <c:dLbl>
              <c:idx val="10"/>
              <c:layout>
                <c:manualLayout>
                  <c:x val="1.258378369818388E-3"/>
                  <c:y val="-4.3907545181580368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C4235B4-E90A-AC4B-86BE-A1A2F0A02F19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8560478311092444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41FB-8A4F-A8DB-9DFB5F68D613}"/>
                </c:ext>
              </c:extLst>
            </c:dLbl>
            <c:dLbl>
              <c:idx val="11"/>
              <c:layout>
                <c:manualLayout>
                  <c:x val="-8.909743240277751E-2"/>
                  <c:y val="0.1121482821898256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8895A3E-0C1D-ED4B-BB2A-775A787DC50C}" type="CELLRANGE">
                      <a:rPr lang="en-US"/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4667184345539711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41FB-8A4F-A8DB-9DFB5F68D613}"/>
                </c:ext>
              </c:extLst>
            </c:dLbl>
            <c:dLbl>
              <c:idx val="12"/>
              <c:layout>
                <c:manualLayout>
                  <c:x val="-1.7028974612573355E-2"/>
                  <c:y val="8.4759611768758149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AC09453-4058-CB45-9170-029BB8E1D7E3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3170690073379698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41FB-8A4F-A8DB-9DFB5F68D613}"/>
                </c:ext>
              </c:extLst>
            </c:dLbl>
            <c:dLbl>
              <c:idx val="13"/>
              <c:layout>
                <c:manualLayout>
                  <c:x val="-6.564929866198424E-2"/>
                  <c:y val="3.4262462457431545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861FE14-5356-474B-B5D4-60F302713253}" type="CELLRANGE">
                      <a:rPr lang="en-US"/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3170690073379698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41FB-8A4F-A8DB-9DFB5F68D613}"/>
                </c:ext>
              </c:extLst>
            </c:dLbl>
            <c:dLbl>
              <c:idx val="14"/>
              <c:layout>
                <c:manualLayout>
                  <c:x val="-2.5349623415394186E-2"/>
                  <c:y val="4.0612177046538203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E9B0757-24A6-524F-9543-11CB6C4E9457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8560478311092444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41FB-8A4F-A8DB-9DFB5F68D613}"/>
                </c:ext>
              </c:extLst>
            </c:dLbl>
            <c:dLbl>
              <c:idx val="15"/>
              <c:layout>
                <c:manualLayout>
                  <c:x val="-3.9767945619868593E-2"/>
                  <c:y val="3.8361804865331063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A44FD38-E47E-CC46-BCF6-A85BF67971A9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6763804711807985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41FB-8A4F-A8DB-9DFB5F68D613}"/>
                </c:ext>
              </c:extLst>
            </c:dLbl>
            <c:dLbl>
              <c:idx val="16"/>
              <c:layout>
                <c:manualLayout>
                  <c:x val="-6.4573907751758947E-2"/>
                  <c:y val="-1.564281213659718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237F7DF-56A7-AD43-A37B-43FB2F7C40D8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87977663993853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41FB-8A4F-A8DB-9DFB5F68D613}"/>
                </c:ext>
              </c:extLst>
            </c:dLbl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anchor="ctr" anchorCtr="1">
                <a:noAutofit/>
              </a:bodyPr>
              <a:lstStyle/>
              <a:p>
                <a:pPr>
                  <a:defRPr sz="20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'Matrix Chart'!$D$2:$D$18</c:f>
              <c:numCache>
                <c:formatCode>0</c:formatCode>
                <c:ptCount val="17"/>
                <c:pt idx="0">
                  <c:v>-335379</c:v>
                </c:pt>
                <c:pt idx="1">
                  <c:v>-43666</c:v>
                </c:pt>
                <c:pt idx="2">
                  <c:v>163782.5</c:v>
                </c:pt>
                <c:pt idx="3">
                  <c:v>89690</c:v>
                </c:pt>
                <c:pt idx="4">
                  <c:v>-250639.5</c:v>
                </c:pt>
                <c:pt idx="5">
                  <c:v>98052</c:v>
                </c:pt>
                <c:pt idx="6">
                  <c:v>-60771.5</c:v>
                </c:pt>
                <c:pt idx="7">
                  <c:v>182249</c:v>
                </c:pt>
                <c:pt idx="8">
                  <c:v>-38023.5</c:v>
                </c:pt>
                <c:pt idx="9">
                  <c:v>-40765.5</c:v>
                </c:pt>
                <c:pt idx="10">
                  <c:v>0</c:v>
                </c:pt>
                <c:pt idx="11">
                  <c:v>-90803.5</c:v>
                </c:pt>
                <c:pt idx="12">
                  <c:v>62234</c:v>
                </c:pt>
                <c:pt idx="13">
                  <c:v>-120246.5</c:v>
                </c:pt>
                <c:pt idx="14">
                  <c:v>284155</c:v>
                </c:pt>
                <c:pt idx="15">
                  <c:v>48509.5</c:v>
                </c:pt>
                <c:pt idx="16">
                  <c:v>252176</c:v>
                </c:pt>
              </c:numCache>
            </c:numRef>
          </c:xVal>
          <c:yVal>
            <c:numRef>
              <c:f>'Matrix Chart'!$E$2:$E$18</c:f>
              <c:numCache>
                <c:formatCode>0%</c:formatCode>
                <c:ptCount val="17"/>
                <c:pt idx="0">
                  <c:v>4.049999999999998E-3</c:v>
                </c:pt>
                <c:pt idx="1">
                  <c:v>2.9124999999999956E-2</c:v>
                </c:pt>
                <c:pt idx="2">
                  <c:v>4.7125000000000083E-2</c:v>
                </c:pt>
                <c:pt idx="3">
                  <c:v>6.3474999999999948E-2</c:v>
                </c:pt>
                <c:pt idx="4">
                  <c:v>4.3749999999999956E-2</c:v>
                </c:pt>
                <c:pt idx="5">
                  <c:v>4.1274999999999951E-2</c:v>
                </c:pt>
                <c:pt idx="6">
                  <c:v>2.7725000000000111E-2</c:v>
                </c:pt>
                <c:pt idx="7">
                  <c:v>1.6450000000000076E-2</c:v>
                </c:pt>
                <c:pt idx="8">
                  <c:v>-1.5250000000000097E-2</c:v>
                </c:pt>
                <c:pt idx="9">
                  <c:v>-4.3500000000000094E-2</c:v>
                </c:pt>
                <c:pt idx="10">
                  <c:v>0</c:v>
                </c:pt>
                <c:pt idx="11">
                  <c:v>-2.849999999999997E-2</c:v>
                </c:pt>
                <c:pt idx="12">
                  <c:v>-2.9775000000000107E-2</c:v>
                </c:pt>
                <c:pt idx="13">
                  <c:v>-1.3174999999999937E-2</c:v>
                </c:pt>
                <c:pt idx="14">
                  <c:v>-1.6375000000000028E-2</c:v>
                </c:pt>
                <c:pt idx="15">
                  <c:v>-5.4449999999999887E-2</c:v>
                </c:pt>
                <c:pt idx="16">
                  <c:v>-0.28789999999999999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'Matrix Chart'!$A$2:$A$18</c15:f>
                <c15:dlblRangeCache>
                  <c:ptCount val="17"/>
                  <c:pt idx="0">
                    <c:v>CAR</c:v>
                  </c:pt>
                  <c:pt idx="1">
                    <c:v>NCR</c:v>
                  </c:pt>
                  <c:pt idx="2">
                    <c:v>IV-A</c:v>
                  </c:pt>
                  <c:pt idx="3">
                    <c:v>III</c:v>
                  </c:pt>
                  <c:pt idx="4">
                    <c:v>II</c:v>
                  </c:pt>
                  <c:pt idx="5">
                    <c:v>VII</c:v>
                  </c:pt>
                  <c:pt idx="6">
                    <c:v>I</c:v>
                  </c:pt>
                  <c:pt idx="7">
                    <c:v>VI</c:v>
                  </c:pt>
                  <c:pt idx="8">
                    <c:v>XI</c:v>
                  </c:pt>
                  <c:pt idx="9">
                    <c:v>XII</c:v>
                  </c:pt>
                  <c:pt idx="10">
                    <c:v>X</c:v>
                  </c:pt>
                  <c:pt idx="11">
                    <c:v>IV-B</c:v>
                  </c:pt>
                  <c:pt idx="12">
                    <c:v>VIII</c:v>
                  </c:pt>
                  <c:pt idx="13">
                    <c:v>XIII</c:v>
                  </c:pt>
                  <c:pt idx="14">
                    <c:v>V</c:v>
                  </c:pt>
                  <c:pt idx="15">
                    <c:v>IX</c:v>
                  </c:pt>
                  <c:pt idx="16">
                    <c:v>BARMM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41FB-8A4F-A8DB-9DFB5F68D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855920"/>
        <c:axId val="1129857632"/>
      </c:scatterChart>
      <c:valAx>
        <c:axId val="112985592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857632"/>
        <c:crosses val="autoZero"/>
        <c:crossBetween val="midCat"/>
      </c:valAx>
      <c:valAx>
        <c:axId val="11298576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85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2</xdr:row>
      <xdr:rowOff>88900</xdr:rowOff>
    </xdr:from>
    <xdr:to>
      <xdr:col>19</xdr:col>
      <xdr:colOff>812800</xdr:colOff>
      <xdr:row>36</xdr:row>
      <xdr:rowOff>23093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06CD3A-4DE3-504A-BB8D-17BCEF418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6351</xdr:colOff>
      <xdr:row>0</xdr:row>
      <xdr:rowOff>196851</xdr:rowOff>
    </xdr:from>
    <xdr:to>
      <xdr:col>16</xdr:col>
      <xdr:colOff>364788</xdr:colOff>
      <xdr:row>29</xdr:row>
      <xdr:rowOff>108086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D51941-3522-8086-8D3B-08AEA725C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arian Corsado" refreshedDate="45978.460998263887" refreshedVersion="8" recordCount="264" xr:uid="{00000000-000A-0000-FFFF-FFFF00000000}">
  <cacheSource type="worksheet">
    <worksheetSource ref="A1:F265" sheet="4Ps Children Count"/>
  </cacheSource>
  <cacheFields count="6">
    <cacheField name="Region" numFmtId="0">
      <sharedItems count="17">
        <s v="NCR"/>
        <s v="CAR"/>
        <s v="I"/>
        <s v="II"/>
        <s v="III"/>
        <s v="IV-A"/>
        <s v="MIMAROPA"/>
        <s v="V"/>
        <s v="VI"/>
        <s v="VII"/>
        <s v="VIII"/>
        <s v="IX"/>
        <s v="X"/>
        <s v="XI"/>
        <s v="XII"/>
        <s v="XIII"/>
        <s v="BARMM"/>
      </sharedItems>
    </cacheField>
    <cacheField name="Age" numFmtId="49">
      <sharedItems count="4">
        <s v="0-2"/>
        <s v="3-5"/>
        <s v="6-14"/>
        <s v="15-18"/>
      </sharedItems>
    </cacheField>
    <cacheField name="Total" numFmtId="0">
      <sharedItems containsSemiMixedTypes="0" containsString="0" containsNumber="1" containsInteger="1" minValue="498" maxValue="390854"/>
    </cacheField>
    <cacheField name="Island" numFmtId="0">
      <sharedItems/>
    </cacheField>
    <cacheField name="Quarter" numFmtId="0">
      <sharedItems count="4">
        <s v="Q1"/>
        <s v="Q2"/>
        <s v="Q3"/>
        <s v="Q4"/>
      </sharedItems>
    </cacheField>
    <cacheField name="Year" numFmtId="0">
      <sharedItems containsSemiMixedTypes="0" containsString="0" containsNumber="1" containsInteger="1" minValue="2020" maxValue="2020" count="1">
        <n v="20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">
  <r>
    <x v="0"/>
    <x v="0"/>
    <n v="2616"/>
    <s v="Luzon"/>
    <x v="0"/>
    <x v="0"/>
  </r>
  <r>
    <x v="0"/>
    <x v="1"/>
    <n v="7713"/>
    <s v="Luzon"/>
    <x v="0"/>
    <x v="0"/>
  </r>
  <r>
    <x v="0"/>
    <x v="2"/>
    <n v="216848"/>
    <s v="Luzon"/>
    <x v="0"/>
    <x v="0"/>
  </r>
  <r>
    <x v="0"/>
    <x v="3"/>
    <n v="170234"/>
    <s v="Luzon"/>
    <x v="0"/>
    <x v="0"/>
  </r>
  <r>
    <x v="1"/>
    <x v="0"/>
    <n v="1531"/>
    <s v="Luzon"/>
    <x v="0"/>
    <x v="0"/>
  </r>
  <r>
    <x v="1"/>
    <x v="1"/>
    <n v="4721"/>
    <s v="Luzon"/>
    <x v="0"/>
    <x v="0"/>
  </r>
  <r>
    <x v="1"/>
    <x v="2"/>
    <n v="53543"/>
    <s v="Luzon"/>
    <x v="0"/>
    <x v="0"/>
  </r>
  <r>
    <x v="1"/>
    <x v="3"/>
    <n v="50005"/>
    <s v="Luzon"/>
    <x v="0"/>
    <x v="0"/>
  </r>
  <r>
    <x v="2"/>
    <x v="0"/>
    <n v="5484"/>
    <s v="Luzon"/>
    <x v="0"/>
    <x v="0"/>
  </r>
  <r>
    <x v="2"/>
    <x v="1"/>
    <n v="18833"/>
    <s v="Luzon"/>
    <x v="0"/>
    <x v="0"/>
  </r>
  <r>
    <x v="2"/>
    <x v="2"/>
    <n v="209712"/>
    <s v="Luzon"/>
    <x v="0"/>
    <x v="0"/>
  </r>
  <r>
    <x v="2"/>
    <x v="3"/>
    <n v="156833"/>
    <s v="Luzon"/>
    <x v="0"/>
    <x v="0"/>
  </r>
  <r>
    <x v="3"/>
    <x v="0"/>
    <n v="2029"/>
    <s v="Luzon"/>
    <x v="0"/>
    <x v="0"/>
  </r>
  <r>
    <x v="3"/>
    <x v="1"/>
    <n v="7106"/>
    <s v="Luzon"/>
    <x v="0"/>
    <x v="0"/>
  </r>
  <r>
    <x v="3"/>
    <x v="2"/>
    <n v="103150"/>
    <s v="Luzon"/>
    <x v="0"/>
    <x v="0"/>
  </r>
  <r>
    <x v="3"/>
    <x v="3"/>
    <n v="80161"/>
    <s v="Luzon"/>
    <x v="0"/>
    <x v="0"/>
  </r>
  <r>
    <x v="4"/>
    <x v="0"/>
    <n v="2969"/>
    <s v="Luzon"/>
    <x v="0"/>
    <x v="0"/>
  </r>
  <r>
    <x v="4"/>
    <x v="1"/>
    <n v="11921"/>
    <s v="Luzon"/>
    <x v="0"/>
    <x v="0"/>
  </r>
  <r>
    <x v="4"/>
    <x v="2"/>
    <n v="294622"/>
    <s v="Luzon"/>
    <x v="0"/>
    <x v="0"/>
  </r>
  <r>
    <x v="4"/>
    <x v="3"/>
    <n v="226244"/>
    <s v="Luzon"/>
    <x v="0"/>
    <x v="0"/>
  </r>
  <r>
    <x v="5"/>
    <x v="0"/>
    <n v="6029"/>
    <s v="Luzon"/>
    <x v="0"/>
    <x v="0"/>
  </r>
  <r>
    <x v="5"/>
    <x v="1"/>
    <n v="19467"/>
    <s v="Luzon"/>
    <x v="0"/>
    <x v="0"/>
  </r>
  <r>
    <x v="5"/>
    <x v="2"/>
    <n v="326299"/>
    <s v="Luzon"/>
    <x v="0"/>
    <x v="0"/>
  </r>
  <r>
    <x v="5"/>
    <x v="3"/>
    <n v="256287"/>
    <s v="Luzon"/>
    <x v="0"/>
    <x v="0"/>
  </r>
  <r>
    <x v="6"/>
    <x v="0"/>
    <n v="5734"/>
    <s v="Luzon"/>
    <x v="0"/>
    <x v="0"/>
  </r>
  <r>
    <x v="6"/>
    <x v="1"/>
    <n v="19927"/>
    <s v="Luzon"/>
    <x v="0"/>
    <x v="0"/>
  </r>
  <r>
    <x v="6"/>
    <x v="2"/>
    <n v="181815"/>
    <s v="Luzon"/>
    <x v="0"/>
    <x v="0"/>
  </r>
  <r>
    <x v="6"/>
    <x v="3"/>
    <n v="151680"/>
    <s v="Luzon"/>
    <x v="0"/>
    <x v="0"/>
  </r>
  <r>
    <x v="7"/>
    <x v="0"/>
    <n v="4945"/>
    <s v="Luzon"/>
    <x v="0"/>
    <x v="0"/>
  </r>
  <r>
    <x v="7"/>
    <x v="1"/>
    <n v="16623"/>
    <s v="Luzon"/>
    <x v="0"/>
    <x v="0"/>
  </r>
  <r>
    <x v="7"/>
    <x v="2"/>
    <n v="375497"/>
    <s v="Luzon"/>
    <x v="0"/>
    <x v="0"/>
  </r>
  <r>
    <x v="7"/>
    <x v="3"/>
    <n v="330983"/>
    <s v="Luzon"/>
    <x v="0"/>
    <x v="0"/>
  </r>
  <r>
    <x v="8"/>
    <x v="0"/>
    <n v="7622"/>
    <s v="Visayas"/>
    <x v="0"/>
    <x v="0"/>
  </r>
  <r>
    <x v="8"/>
    <x v="1"/>
    <n v="21727"/>
    <s v="Visayas"/>
    <x v="0"/>
    <x v="0"/>
  </r>
  <r>
    <x v="8"/>
    <x v="2"/>
    <n v="334834"/>
    <s v="Visayas"/>
    <x v="0"/>
    <x v="0"/>
  </r>
  <r>
    <x v="8"/>
    <x v="3"/>
    <n v="273922"/>
    <s v="Visayas"/>
    <x v="0"/>
    <x v="0"/>
  </r>
  <r>
    <x v="9"/>
    <x v="0"/>
    <n v="4253"/>
    <s v="Visayas"/>
    <x v="0"/>
    <x v="0"/>
  </r>
  <r>
    <x v="9"/>
    <x v="1"/>
    <n v="19965"/>
    <s v="Visayas"/>
    <x v="0"/>
    <x v="0"/>
  </r>
  <r>
    <x v="9"/>
    <x v="2"/>
    <n v="290644"/>
    <s v="Visayas"/>
    <x v="0"/>
    <x v="0"/>
  </r>
  <r>
    <x v="9"/>
    <x v="3"/>
    <n v="231755"/>
    <s v="Visayas"/>
    <x v="0"/>
    <x v="0"/>
  </r>
  <r>
    <x v="10"/>
    <x v="0"/>
    <n v="3677"/>
    <s v="Visayas"/>
    <x v="0"/>
    <x v="0"/>
  </r>
  <r>
    <x v="10"/>
    <x v="1"/>
    <n v="15972"/>
    <s v="Visayas"/>
    <x v="0"/>
    <x v="0"/>
  </r>
  <r>
    <x v="10"/>
    <x v="2"/>
    <n v="268345"/>
    <s v="Visayas"/>
    <x v="0"/>
    <x v="0"/>
  </r>
  <r>
    <x v="10"/>
    <x v="3"/>
    <n v="230993"/>
    <s v="Visayas"/>
    <x v="0"/>
    <x v="0"/>
  </r>
  <r>
    <x v="11"/>
    <x v="0"/>
    <n v="4612"/>
    <s v="Mindanao"/>
    <x v="0"/>
    <x v="0"/>
  </r>
  <r>
    <x v="11"/>
    <x v="1"/>
    <n v="17775"/>
    <s v="Mindanao"/>
    <x v="0"/>
    <x v="0"/>
  </r>
  <r>
    <x v="11"/>
    <x v="2"/>
    <n v="273579"/>
    <s v="Mindanao"/>
    <x v="0"/>
    <x v="0"/>
  </r>
  <r>
    <x v="11"/>
    <x v="3"/>
    <n v="204088"/>
    <s v="Mindanao"/>
    <x v="0"/>
    <x v="0"/>
  </r>
  <r>
    <x v="12"/>
    <x v="0"/>
    <n v="1775"/>
    <s v="Mindanao"/>
    <x v="0"/>
    <x v="0"/>
  </r>
  <r>
    <x v="12"/>
    <x v="1"/>
    <n v="10237"/>
    <s v="Mindanao"/>
    <x v="0"/>
    <x v="0"/>
  </r>
  <r>
    <x v="12"/>
    <x v="2"/>
    <n v="233224"/>
    <s v="Mindanao"/>
    <x v="0"/>
    <x v="0"/>
  </r>
  <r>
    <x v="12"/>
    <x v="3"/>
    <n v="207896"/>
    <s v="Mindanao"/>
    <x v="0"/>
    <x v="0"/>
  </r>
  <r>
    <x v="13"/>
    <x v="0"/>
    <n v="2255"/>
    <s v="Mindanao"/>
    <x v="0"/>
    <x v="0"/>
  </r>
  <r>
    <x v="13"/>
    <x v="1"/>
    <n v="11587"/>
    <s v="Mindanao"/>
    <x v="0"/>
    <x v="0"/>
  </r>
  <r>
    <x v="13"/>
    <x v="2"/>
    <n v="224130"/>
    <s v="Mindanao"/>
    <x v="0"/>
    <x v="0"/>
  </r>
  <r>
    <x v="13"/>
    <x v="3"/>
    <n v="173609"/>
    <s v="Mindanao"/>
    <x v="0"/>
    <x v="0"/>
  </r>
  <r>
    <x v="14"/>
    <x v="0"/>
    <n v="864"/>
    <s v="Mindanao"/>
    <x v="0"/>
    <x v="0"/>
  </r>
  <r>
    <x v="14"/>
    <x v="1"/>
    <n v="5914"/>
    <s v="Mindanao"/>
    <x v="0"/>
    <x v="0"/>
  </r>
  <r>
    <x v="14"/>
    <x v="2"/>
    <n v="209224"/>
    <s v="Mindanao"/>
    <x v="0"/>
    <x v="0"/>
  </r>
  <r>
    <x v="14"/>
    <x v="3"/>
    <n v="192431"/>
    <s v="Mindanao"/>
    <x v="0"/>
    <x v="0"/>
  </r>
  <r>
    <x v="15"/>
    <x v="0"/>
    <n v="4373"/>
    <s v="Mindanao"/>
    <x v="0"/>
    <x v="0"/>
  </r>
  <r>
    <x v="15"/>
    <x v="1"/>
    <n v="14960"/>
    <s v="Mindanao"/>
    <x v="0"/>
    <x v="0"/>
  </r>
  <r>
    <x v="15"/>
    <x v="2"/>
    <n v="172807"/>
    <s v="Mindanao"/>
    <x v="0"/>
    <x v="0"/>
  </r>
  <r>
    <x v="15"/>
    <x v="3"/>
    <n v="137479"/>
    <s v="Mindanao"/>
    <x v="0"/>
    <x v="0"/>
  </r>
  <r>
    <x v="16"/>
    <x v="0"/>
    <n v="580"/>
    <s v="Mindanao"/>
    <x v="0"/>
    <x v="0"/>
  </r>
  <r>
    <x v="16"/>
    <x v="1"/>
    <n v="2127"/>
    <s v="Mindanao"/>
    <x v="0"/>
    <x v="0"/>
  </r>
  <r>
    <x v="16"/>
    <x v="2"/>
    <n v="347321"/>
    <s v="Mindanao"/>
    <x v="0"/>
    <x v="0"/>
  </r>
  <r>
    <x v="16"/>
    <x v="3"/>
    <n v="356822"/>
    <s v="Mindanao"/>
    <x v="0"/>
    <x v="0"/>
  </r>
  <r>
    <x v="0"/>
    <x v="0"/>
    <n v="2928"/>
    <s v="Luzon"/>
    <x v="1"/>
    <x v="0"/>
  </r>
  <r>
    <x v="0"/>
    <x v="1"/>
    <n v="9280"/>
    <s v="Luzon"/>
    <x v="1"/>
    <x v="0"/>
  </r>
  <r>
    <x v="0"/>
    <x v="2"/>
    <n v="219619"/>
    <s v="Luzon"/>
    <x v="1"/>
    <x v="0"/>
  </r>
  <r>
    <x v="0"/>
    <x v="3"/>
    <n v="176675"/>
    <s v="Luzon"/>
    <x v="1"/>
    <x v="0"/>
  </r>
  <r>
    <x v="1"/>
    <x v="0"/>
    <n v="1497"/>
    <s v="Luzon"/>
    <x v="1"/>
    <x v="0"/>
  </r>
  <r>
    <x v="1"/>
    <x v="1"/>
    <n v="4761"/>
    <s v="Luzon"/>
    <x v="1"/>
    <x v="0"/>
  </r>
  <r>
    <x v="1"/>
    <x v="2"/>
    <n v="51644"/>
    <s v="Luzon"/>
    <x v="1"/>
    <x v="0"/>
  </r>
  <r>
    <x v="1"/>
    <x v="3"/>
    <n v="50366"/>
    <s v="Luzon"/>
    <x v="1"/>
    <x v="0"/>
  </r>
  <r>
    <x v="2"/>
    <x v="0"/>
    <n v="5157"/>
    <s v="Luzon"/>
    <x v="1"/>
    <x v="0"/>
  </r>
  <r>
    <x v="2"/>
    <x v="1"/>
    <n v="17769"/>
    <s v="Luzon"/>
    <x v="1"/>
    <x v="0"/>
  </r>
  <r>
    <x v="2"/>
    <x v="2"/>
    <n v="204041"/>
    <s v="Luzon"/>
    <x v="1"/>
    <x v="0"/>
  </r>
  <r>
    <x v="2"/>
    <x v="3"/>
    <n v="158129"/>
    <s v="Luzon"/>
    <x v="1"/>
    <x v="0"/>
  </r>
  <r>
    <x v="3"/>
    <x v="0"/>
    <n v="2044"/>
    <s v="Luzon"/>
    <x v="1"/>
    <x v="0"/>
  </r>
  <r>
    <x v="3"/>
    <x v="1"/>
    <n v="7392"/>
    <s v="Luzon"/>
    <x v="1"/>
    <x v="0"/>
  </r>
  <r>
    <x v="3"/>
    <x v="2"/>
    <n v="103424"/>
    <s v="Luzon"/>
    <x v="1"/>
    <x v="0"/>
  </r>
  <r>
    <x v="3"/>
    <x v="3"/>
    <n v="82213"/>
    <s v="Luzon"/>
    <x v="1"/>
    <x v="0"/>
  </r>
  <r>
    <x v="4"/>
    <x v="0"/>
    <n v="3008"/>
    <s v="Luzon"/>
    <x v="1"/>
    <x v="0"/>
  </r>
  <r>
    <x v="4"/>
    <x v="1"/>
    <n v="12536"/>
    <s v="Luzon"/>
    <x v="1"/>
    <x v="0"/>
  </r>
  <r>
    <x v="4"/>
    <x v="2"/>
    <n v="293239"/>
    <s v="Luzon"/>
    <x v="1"/>
    <x v="0"/>
  </r>
  <r>
    <x v="4"/>
    <x v="3"/>
    <n v="232788"/>
    <s v="Luzon"/>
    <x v="1"/>
    <x v="0"/>
  </r>
  <r>
    <x v="5"/>
    <x v="0"/>
    <n v="5857"/>
    <s v="Luzon"/>
    <x v="1"/>
    <x v="0"/>
  </r>
  <r>
    <x v="5"/>
    <x v="1"/>
    <n v="20458"/>
    <s v="Luzon"/>
    <x v="1"/>
    <x v="0"/>
  </r>
  <r>
    <x v="5"/>
    <x v="2"/>
    <n v="326071"/>
    <s v="Luzon"/>
    <x v="1"/>
    <x v="0"/>
  </r>
  <r>
    <x v="5"/>
    <x v="3"/>
    <n v="263667"/>
    <s v="Luzon"/>
    <x v="1"/>
    <x v="0"/>
  </r>
  <r>
    <x v="6"/>
    <x v="0"/>
    <n v="5282"/>
    <s v="Luzon"/>
    <x v="1"/>
    <x v="0"/>
  </r>
  <r>
    <x v="6"/>
    <x v="1"/>
    <n v="18882"/>
    <s v="Luzon"/>
    <x v="1"/>
    <x v="0"/>
  </r>
  <r>
    <x v="6"/>
    <x v="2"/>
    <n v="176019"/>
    <s v="Luzon"/>
    <x v="1"/>
    <x v="0"/>
  </r>
  <r>
    <x v="6"/>
    <x v="3"/>
    <n v="153386"/>
    <s v="Luzon"/>
    <x v="1"/>
    <x v="0"/>
  </r>
  <r>
    <x v="7"/>
    <x v="0"/>
    <n v="5583"/>
    <s v="Luzon"/>
    <x v="1"/>
    <x v="0"/>
  </r>
  <r>
    <x v="7"/>
    <x v="1"/>
    <n v="18481"/>
    <s v="Luzon"/>
    <x v="1"/>
    <x v="0"/>
  </r>
  <r>
    <x v="7"/>
    <x v="2"/>
    <n v="372776"/>
    <s v="Luzon"/>
    <x v="1"/>
    <x v="0"/>
  </r>
  <r>
    <x v="7"/>
    <x v="3"/>
    <n v="336908"/>
    <s v="Luzon"/>
    <x v="1"/>
    <x v="0"/>
  </r>
  <r>
    <x v="8"/>
    <x v="0"/>
    <n v="7054"/>
    <s v="Visayas"/>
    <x v="1"/>
    <x v="0"/>
  </r>
  <r>
    <x v="8"/>
    <x v="1"/>
    <n v="21454"/>
    <s v="Visayas"/>
    <x v="1"/>
    <x v="0"/>
  </r>
  <r>
    <x v="8"/>
    <x v="2"/>
    <n v="326340"/>
    <s v="Visayas"/>
    <x v="1"/>
    <x v="0"/>
  </r>
  <r>
    <x v="8"/>
    <x v="3"/>
    <n v="277071"/>
    <s v="Visayas"/>
    <x v="1"/>
    <x v="0"/>
  </r>
  <r>
    <x v="9"/>
    <x v="0"/>
    <n v="4250"/>
    <s v="Visayas"/>
    <x v="1"/>
    <x v="0"/>
  </r>
  <r>
    <x v="9"/>
    <x v="1"/>
    <n v="19654"/>
    <s v="Visayas"/>
    <x v="1"/>
    <x v="0"/>
  </r>
  <r>
    <x v="9"/>
    <x v="2"/>
    <n v="287170"/>
    <s v="Visayas"/>
    <x v="1"/>
    <x v="0"/>
  </r>
  <r>
    <x v="9"/>
    <x v="3"/>
    <n v="237001"/>
    <s v="Visayas"/>
    <x v="1"/>
    <x v="0"/>
  </r>
  <r>
    <x v="10"/>
    <x v="0"/>
    <n v="3546"/>
    <s v="Visayas"/>
    <x v="1"/>
    <x v="0"/>
  </r>
  <r>
    <x v="10"/>
    <x v="1"/>
    <n v="15029"/>
    <s v="Visayas"/>
    <x v="1"/>
    <x v="0"/>
  </r>
  <r>
    <x v="10"/>
    <x v="2"/>
    <n v="258423"/>
    <s v="Visayas"/>
    <x v="1"/>
    <x v="0"/>
  </r>
  <r>
    <x v="10"/>
    <x v="3"/>
    <n v="234264"/>
    <s v="Visayas"/>
    <x v="1"/>
    <x v="0"/>
  </r>
  <r>
    <x v="11"/>
    <x v="0"/>
    <n v="4971"/>
    <s v="Mindanao"/>
    <x v="1"/>
    <x v="0"/>
  </r>
  <r>
    <x v="11"/>
    <x v="1"/>
    <n v="17645"/>
    <s v="Mindanao"/>
    <x v="1"/>
    <x v="0"/>
  </r>
  <r>
    <x v="11"/>
    <x v="2"/>
    <n v="266270"/>
    <s v="Mindanao"/>
    <x v="1"/>
    <x v="0"/>
  </r>
  <r>
    <x v="11"/>
    <x v="3"/>
    <n v="207083"/>
    <s v="Mindanao"/>
    <x v="1"/>
    <x v="0"/>
  </r>
  <r>
    <x v="12"/>
    <x v="0"/>
    <n v="1770"/>
    <s v="Mindanao"/>
    <x v="1"/>
    <x v="0"/>
  </r>
  <r>
    <x v="12"/>
    <x v="1"/>
    <n v="9611"/>
    <s v="Mindanao"/>
    <x v="1"/>
    <x v="0"/>
  </r>
  <r>
    <x v="12"/>
    <x v="2"/>
    <n v="225941"/>
    <s v="Mindanao"/>
    <x v="1"/>
    <x v="0"/>
  </r>
  <r>
    <x v="12"/>
    <x v="3"/>
    <n v="210695"/>
    <s v="Mindanao"/>
    <x v="1"/>
    <x v="0"/>
  </r>
  <r>
    <x v="13"/>
    <x v="0"/>
    <n v="2172"/>
    <s v="Mindanao"/>
    <x v="1"/>
    <x v="0"/>
  </r>
  <r>
    <x v="13"/>
    <x v="1"/>
    <n v="10958"/>
    <s v="Mindanao"/>
    <x v="1"/>
    <x v="0"/>
  </r>
  <r>
    <x v="13"/>
    <x v="2"/>
    <n v="218680"/>
    <s v="Mindanao"/>
    <x v="1"/>
    <x v="0"/>
  </r>
  <r>
    <x v="13"/>
    <x v="3"/>
    <n v="177367"/>
    <s v="Mindanao"/>
    <x v="1"/>
    <x v="0"/>
  </r>
  <r>
    <x v="14"/>
    <x v="0"/>
    <n v="996"/>
    <s v="Mindanao"/>
    <x v="1"/>
    <x v="0"/>
  </r>
  <r>
    <x v="14"/>
    <x v="1"/>
    <n v="10143"/>
    <s v="Mindanao"/>
    <x v="1"/>
    <x v="0"/>
  </r>
  <r>
    <x v="14"/>
    <x v="2"/>
    <n v="204955"/>
    <s v="Mindanao"/>
    <x v="1"/>
    <x v="0"/>
  </r>
  <r>
    <x v="14"/>
    <x v="3"/>
    <n v="195624"/>
    <s v="Mindanao"/>
    <x v="1"/>
    <x v="0"/>
  </r>
  <r>
    <x v="16"/>
    <x v="0"/>
    <n v="559"/>
    <s v="Mindanao"/>
    <x v="1"/>
    <x v="0"/>
  </r>
  <r>
    <x v="16"/>
    <x v="1"/>
    <n v="2013"/>
    <s v="Mindanao"/>
    <x v="1"/>
    <x v="0"/>
  </r>
  <r>
    <x v="16"/>
    <x v="2"/>
    <n v="326467"/>
    <s v="Mindanao"/>
    <x v="1"/>
    <x v="0"/>
  </r>
  <r>
    <x v="16"/>
    <x v="3"/>
    <n v="355781"/>
    <s v="Mindanao"/>
    <x v="1"/>
    <x v="0"/>
  </r>
  <r>
    <x v="0"/>
    <x v="0"/>
    <n v="2525"/>
    <s v="Luzon"/>
    <x v="2"/>
    <x v="0"/>
  </r>
  <r>
    <x v="0"/>
    <x v="1"/>
    <n v="8820"/>
    <s v="Luzon"/>
    <x v="2"/>
    <x v="0"/>
  </r>
  <r>
    <x v="0"/>
    <x v="2"/>
    <n v="209781"/>
    <s v="Luzon"/>
    <x v="2"/>
    <x v="0"/>
  </r>
  <r>
    <x v="0"/>
    <x v="3"/>
    <n v="179263"/>
    <s v="Luzon"/>
    <x v="2"/>
    <x v="0"/>
  </r>
  <r>
    <x v="1"/>
    <x v="0"/>
    <n v="1388"/>
    <s v="Luzon"/>
    <x v="2"/>
    <x v="0"/>
  </r>
  <r>
    <x v="1"/>
    <x v="1"/>
    <n v="4579"/>
    <s v="Luzon"/>
    <x v="2"/>
    <x v="0"/>
  </r>
  <r>
    <x v="1"/>
    <x v="2"/>
    <n v="49437"/>
    <s v="Luzon"/>
    <x v="2"/>
    <x v="0"/>
  </r>
  <r>
    <x v="1"/>
    <x v="3"/>
    <n v="50702"/>
    <s v="Luzon"/>
    <x v="2"/>
    <x v="0"/>
  </r>
  <r>
    <x v="2"/>
    <x v="0"/>
    <n v="4808"/>
    <s v="Luzon"/>
    <x v="2"/>
    <x v="0"/>
  </r>
  <r>
    <x v="2"/>
    <x v="1"/>
    <n v="16715"/>
    <s v="Luzon"/>
    <x v="2"/>
    <x v="0"/>
  </r>
  <r>
    <x v="2"/>
    <x v="2"/>
    <n v="196612"/>
    <s v="Luzon"/>
    <x v="2"/>
    <x v="0"/>
  </r>
  <r>
    <x v="2"/>
    <x v="3"/>
    <n v="160358"/>
    <s v="Luzon"/>
    <x v="2"/>
    <x v="0"/>
  </r>
  <r>
    <x v="3"/>
    <x v="0"/>
    <n v="1789"/>
    <s v="Luzon"/>
    <x v="2"/>
    <x v="0"/>
  </r>
  <r>
    <x v="3"/>
    <x v="1"/>
    <n v="6958"/>
    <s v="Luzon"/>
    <x v="2"/>
    <x v="0"/>
  </r>
  <r>
    <x v="3"/>
    <x v="2"/>
    <n v="99057"/>
    <s v="Luzon"/>
    <x v="2"/>
    <x v="0"/>
  </r>
  <r>
    <x v="3"/>
    <x v="3"/>
    <n v="83603"/>
    <s v="Luzon"/>
    <x v="2"/>
    <x v="0"/>
  </r>
  <r>
    <x v="4"/>
    <x v="0"/>
    <n v="2696"/>
    <s v="Luzon"/>
    <x v="2"/>
    <x v="0"/>
  </r>
  <r>
    <x v="4"/>
    <x v="1"/>
    <n v="11309"/>
    <s v="Luzon"/>
    <x v="2"/>
    <x v="0"/>
  </r>
  <r>
    <x v="4"/>
    <x v="2"/>
    <n v="279116"/>
    <s v="Luzon"/>
    <x v="2"/>
    <x v="0"/>
  </r>
  <r>
    <x v="4"/>
    <x v="3"/>
    <n v="235635"/>
    <s v="Luzon"/>
    <x v="2"/>
    <x v="0"/>
  </r>
  <r>
    <x v="5"/>
    <x v="0"/>
    <n v="5005"/>
    <s v="Luzon"/>
    <x v="2"/>
    <x v="0"/>
  </r>
  <r>
    <x v="5"/>
    <x v="1"/>
    <n v="19327"/>
    <s v="Luzon"/>
    <x v="2"/>
    <x v="0"/>
  </r>
  <r>
    <x v="5"/>
    <x v="2"/>
    <n v="312673"/>
    <s v="Luzon"/>
    <x v="2"/>
    <x v="0"/>
  </r>
  <r>
    <x v="5"/>
    <x v="3"/>
    <n v="267610"/>
    <s v="Luzon"/>
    <x v="2"/>
    <x v="0"/>
  </r>
  <r>
    <x v="6"/>
    <x v="0"/>
    <n v="4977"/>
    <s v="Luzon"/>
    <x v="2"/>
    <x v="0"/>
  </r>
  <r>
    <x v="6"/>
    <x v="1"/>
    <n v="18305"/>
    <s v="Luzon"/>
    <x v="2"/>
    <x v="0"/>
  </r>
  <r>
    <x v="6"/>
    <x v="2"/>
    <n v="172066"/>
    <s v="Luzon"/>
    <x v="2"/>
    <x v="0"/>
  </r>
  <r>
    <x v="6"/>
    <x v="3"/>
    <n v="154608"/>
    <s v="Luzon"/>
    <x v="2"/>
    <x v="0"/>
  </r>
  <r>
    <x v="7"/>
    <x v="0"/>
    <n v="5295"/>
    <s v="Luzon"/>
    <x v="2"/>
    <x v="0"/>
  </r>
  <r>
    <x v="7"/>
    <x v="1"/>
    <n v="18245"/>
    <s v="Luzon"/>
    <x v="2"/>
    <x v="0"/>
  </r>
  <r>
    <x v="7"/>
    <x v="2"/>
    <n v="360610"/>
    <s v="Luzon"/>
    <x v="2"/>
    <x v="0"/>
  </r>
  <r>
    <x v="7"/>
    <x v="3"/>
    <n v="341244"/>
    <s v="Luzon"/>
    <x v="2"/>
    <x v="0"/>
  </r>
  <r>
    <x v="8"/>
    <x v="0"/>
    <n v="6047"/>
    <s v="Visayas"/>
    <x v="2"/>
    <x v="0"/>
  </r>
  <r>
    <x v="8"/>
    <x v="1"/>
    <n v="20239"/>
    <s v="Visayas"/>
    <x v="2"/>
    <x v="0"/>
  </r>
  <r>
    <x v="8"/>
    <x v="2"/>
    <n v="312630"/>
    <s v="Visayas"/>
    <x v="2"/>
    <x v="0"/>
  </r>
  <r>
    <x v="8"/>
    <x v="3"/>
    <n v="278795"/>
    <s v="Visayas"/>
    <x v="2"/>
    <x v="0"/>
  </r>
  <r>
    <x v="9"/>
    <x v="0"/>
    <n v="3510"/>
    <s v="Visayas"/>
    <x v="2"/>
    <x v="0"/>
  </r>
  <r>
    <x v="9"/>
    <x v="1"/>
    <n v="17628"/>
    <s v="Visayas"/>
    <x v="2"/>
    <x v="0"/>
  </r>
  <r>
    <x v="9"/>
    <x v="2"/>
    <n v="274540"/>
    <s v="Visayas"/>
    <x v="2"/>
    <x v="0"/>
  </r>
  <r>
    <x v="9"/>
    <x v="3"/>
    <n v="238941"/>
    <s v="Visayas"/>
    <x v="2"/>
    <x v="0"/>
  </r>
  <r>
    <x v="10"/>
    <x v="0"/>
    <n v="3128"/>
    <s v="Visayas"/>
    <x v="2"/>
    <x v="0"/>
  </r>
  <r>
    <x v="10"/>
    <x v="1"/>
    <n v="13622"/>
    <s v="Visayas"/>
    <x v="2"/>
    <x v="0"/>
  </r>
  <r>
    <x v="10"/>
    <x v="2"/>
    <n v="245401"/>
    <s v="Visayas"/>
    <x v="2"/>
    <x v="0"/>
  </r>
  <r>
    <x v="10"/>
    <x v="3"/>
    <n v="236187"/>
    <s v="Visayas"/>
    <x v="2"/>
    <x v="0"/>
  </r>
  <r>
    <x v="11"/>
    <x v="0"/>
    <n v="4485"/>
    <s v="Mindanao"/>
    <x v="2"/>
    <x v="0"/>
  </r>
  <r>
    <x v="11"/>
    <x v="1"/>
    <n v="16991"/>
    <s v="Mindanao"/>
    <x v="2"/>
    <x v="0"/>
  </r>
  <r>
    <x v="11"/>
    <x v="2"/>
    <n v="255390"/>
    <s v="Mindanao"/>
    <x v="2"/>
    <x v="0"/>
  </r>
  <r>
    <x v="11"/>
    <x v="3"/>
    <n v="209316"/>
    <s v="Mindanao"/>
    <x v="2"/>
    <x v="0"/>
  </r>
  <r>
    <x v="12"/>
    <x v="0"/>
    <n v="1633"/>
    <s v="Mindanao"/>
    <x v="2"/>
    <x v="0"/>
  </r>
  <r>
    <x v="12"/>
    <x v="1"/>
    <n v="8420"/>
    <s v="Mindanao"/>
    <x v="2"/>
    <x v="0"/>
  </r>
  <r>
    <x v="12"/>
    <x v="2"/>
    <n v="213240"/>
    <s v="Mindanao"/>
    <x v="2"/>
    <x v="0"/>
  </r>
  <r>
    <x v="12"/>
    <x v="3"/>
    <n v="213822"/>
    <s v="Mindanao"/>
    <x v="2"/>
    <x v="0"/>
  </r>
  <r>
    <x v="13"/>
    <x v="0"/>
    <n v="1820"/>
    <s v="Mindanao"/>
    <x v="2"/>
    <x v="0"/>
  </r>
  <r>
    <x v="13"/>
    <x v="1"/>
    <n v="9741"/>
    <s v="Mindanao"/>
    <x v="2"/>
    <x v="0"/>
  </r>
  <r>
    <x v="13"/>
    <x v="2"/>
    <n v="208606"/>
    <s v="Mindanao"/>
    <x v="2"/>
    <x v="0"/>
  </r>
  <r>
    <x v="13"/>
    <x v="3"/>
    <n v="179741"/>
    <s v="Mindanao"/>
    <x v="2"/>
    <x v="0"/>
  </r>
  <r>
    <x v="14"/>
    <x v="0"/>
    <n v="989"/>
    <s v="Mindanao"/>
    <x v="2"/>
    <x v="0"/>
  </r>
  <r>
    <x v="14"/>
    <x v="1"/>
    <n v="5238"/>
    <s v="Mindanao"/>
    <x v="2"/>
    <x v="0"/>
  </r>
  <r>
    <x v="14"/>
    <x v="2"/>
    <n v="192692"/>
    <s v="Mindanao"/>
    <x v="2"/>
    <x v="0"/>
  </r>
  <r>
    <x v="14"/>
    <x v="3"/>
    <n v="196249"/>
    <s v="Mindanao"/>
    <x v="2"/>
    <x v="0"/>
  </r>
  <r>
    <x v="16"/>
    <x v="0"/>
    <n v="498"/>
    <s v="Mindanao"/>
    <x v="2"/>
    <x v="0"/>
  </r>
  <r>
    <x v="16"/>
    <x v="1"/>
    <n v="1966"/>
    <s v="Mindanao"/>
    <x v="2"/>
    <x v="0"/>
  </r>
  <r>
    <x v="16"/>
    <x v="2"/>
    <n v="296621"/>
    <s v="Mindanao"/>
    <x v="2"/>
    <x v="0"/>
  </r>
  <r>
    <x v="16"/>
    <x v="3"/>
    <n v="356016"/>
    <s v="Mindanao"/>
    <x v="2"/>
    <x v="0"/>
  </r>
  <r>
    <x v="0"/>
    <x v="0"/>
    <n v="2178"/>
    <s v="Luzon"/>
    <x v="3"/>
    <x v="0"/>
  </r>
  <r>
    <x v="0"/>
    <x v="1"/>
    <n v="8282"/>
    <s v="Luzon"/>
    <x v="3"/>
    <x v="0"/>
  </r>
  <r>
    <x v="0"/>
    <x v="2"/>
    <n v="199235"/>
    <s v="Luzon"/>
    <x v="3"/>
    <x v="0"/>
  </r>
  <r>
    <x v="0"/>
    <x v="3"/>
    <n v="173033"/>
    <s v="Luzon"/>
    <x v="3"/>
    <x v="0"/>
  </r>
  <r>
    <x v="1"/>
    <x v="0"/>
    <n v="1273"/>
    <s v="Luzon"/>
    <x v="3"/>
    <x v="0"/>
  </r>
  <r>
    <x v="1"/>
    <x v="1"/>
    <n v="4511"/>
    <s v="Luzon"/>
    <x v="3"/>
    <x v="0"/>
  </r>
  <r>
    <x v="1"/>
    <x v="2"/>
    <n v="47444"/>
    <s v="Luzon"/>
    <x v="3"/>
    <x v="0"/>
  </r>
  <r>
    <x v="1"/>
    <x v="3"/>
    <n v="48590"/>
    <s v="Luzon"/>
    <x v="3"/>
    <x v="0"/>
  </r>
  <r>
    <x v="2"/>
    <x v="0"/>
    <n v="5050"/>
    <s v="Luzon"/>
    <x v="3"/>
    <x v="0"/>
  </r>
  <r>
    <x v="2"/>
    <x v="1"/>
    <n v="16656"/>
    <s v="Luzon"/>
    <x v="3"/>
    <x v="0"/>
  </r>
  <r>
    <x v="2"/>
    <x v="2"/>
    <n v="196413"/>
    <s v="Luzon"/>
    <x v="3"/>
    <x v="0"/>
  </r>
  <r>
    <x v="2"/>
    <x v="3"/>
    <n v="156863"/>
    <s v="Luzon"/>
    <x v="3"/>
    <x v="0"/>
  </r>
  <r>
    <x v="3"/>
    <x v="0"/>
    <n v="1924"/>
    <s v="Luzon"/>
    <x v="3"/>
    <x v="0"/>
  </r>
  <r>
    <x v="3"/>
    <x v="1"/>
    <n v="6962"/>
    <s v="Luzon"/>
    <x v="3"/>
    <x v="0"/>
  </r>
  <r>
    <x v="3"/>
    <x v="2"/>
    <n v="98456"/>
    <s v="Luzon"/>
    <x v="3"/>
    <x v="0"/>
  </r>
  <r>
    <x v="3"/>
    <x v="3"/>
    <n v="81893"/>
    <s v="Luzon"/>
    <x v="3"/>
    <x v="0"/>
  </r>
  <r>
    <x v="4"/>
    <x v="0"/>
    <n v="3100"/>
    <s v="Luzon"/>
    <x v="3"/>
    <x v="0"/>
  </r>
  <r>
    <x v="4"/>
    <x v="1"/>
    <n v="11467"/>
    <s v="Luzon"/>
    <x v="3"/>
    <x v="0"/>
  </r>
  <r>
    <x v="4"/>
    <x v="2"/>
    <n v="274298"/>
    <s v="Luzon"/>
    <x v="3"/>
    <x v="0"/>
  </r>
  <r>
    <x v="4"/>
    <x v="3"/>
    <n v="230708"/>
    <s v="Luzon"/>
    <x v="3"/>
    <x v="0"/>
  </r>
  <r>
    <x v="5"/>
    <x v="0"/>
    <n v="4698"/>
    <s v="Luzon"/>
    <x v="3"/>
    <x v="0"/>
  </r>
  <r>
    <x v="5"/>
    <x v="1"/>
    <n v="19014"/>
    <s v="Luzon"/>
    <x v="3"/>
    <x v="0"/>
  </r>
  <r>
    <x v="5"/>
    <x v="2"/>
    <n v="305055"/>
    <s v="Luzon"/>
    <x v="3"/>
    <x v="0"/>
  </r>
  <r>
    <x v="5"/>
    <x v="3"/>
    <n v="260970"/>
    <s v="Luzon"/>
    <x v="3"/>
    <x v="0"/>
  </r>
  <r>
    <x v="6"/>
    <x v="0"/>
    <n v="4491"/>
    <s v="Luzon"/>
    <x v="3"/>
    <x v="0"/>
  </r>
  <r>
    <x v="6"/>
    <x v="1"/>
    <n v="17506"/>
    <s v="Luzon"/>
    <x v="3"/>
    <x v="0"/>
  </r>
  <r>
    <x v="6"/>
    <x v="2"/>
    <n v="168731"/>
    <s v="Luzon"/>
    <x v="3"/>
    <x v="0"/>
  </r>
  <r>
    <x v="6"/>
    <x v="3"/>
    <n v="150706"/>
    <s v="Luzon"/>
    <x v="3"/>
    <x v="0"/>
  </r>
  <r>
    <x v="7"/>
    <x v="0"/>
    <n v="5820"/>
    <s v="Luzon"/>
    <x v="3"/>
    <x v="0"/>
  </r>
  <r>
    <x v="7"/>
    <x v="1"/>
    <n v="18675"/>
    <s v="Luzon"/>
    <x v="3"/>
    <x v="0"/>
  </r>
  <r>
    <x v="7"/>
    <x v="2"/>
    <n v="352185"/>
    <s v="Luzon"/>
    <x v="3"/>
    <x v="0"/>
  </r>
  <r>
    <x v="7"/>
    <x v="3"/>
    <n v="334978"/>
    <s v="Luzon"/>
    <x v="3"/>
    <x v="0"/>
  </r>
  <r>
    <x v="8"/>
    <x v="0"/>
    <n v="6189"/>
    <s v="Visayas"/>
    <x v="3"/>
    <x v="0"/>
  </r>
  <r>
    <x v="8"/>
    <x v="1"/>
    <n v="20863"/>
    <s v="Visayas"/>
    <x v="3"/>
    <x v="0"/>
  </r>
  <r>
    <x v="8"/>
    <x v="2"/>
    <n v="305428"/>
    <s v="Visayas"/>
    <x v="3"/>
    <x v="0"/>
  </r>
  <r>
    <x v="8"/>
    <x v="3"/>
    <n v="275423"/>
    <s v="Visayas"/>
    <x v="3"/>
    <x v="0"/>
  </r>
  <r>
    <x v="9"/>
    <x v="0"/>
    <n v="3168"/>
    <s v="Visayas"/>
    <x v="3"/>
    <x v="0"/>
  </r>
  <r>
    <x v="9"/>
    <x v="1"/>
    <n v="16069"/>
    <s v="Visayas"/>
    <x v="3"/>
    <x v="0"/>
  </r>
  <r>
    <x v="9"/>
    <x v="2"/>
    <n v="265691"/>
    <s v="Visayas"/>
    <x v="3"/>
    <x v="0"/>
  </r>
  <r>
    <x v="9"/>
    <x v="3"/>
    <n v="235284"/>
    <s v="Visayas"/>
    <x v="3"/>
    <x v="0"/>
  </r>
  <r>
    <x v="10"/>
    <x v="0"/>
    <n v="3147"/>
    <s v="Visayas"/>
    <x v="3"/>
    <x v="0"/>
  </r>
  <r>
    <x v="10"/>
    <x v="1"/>
    <n v="12802"/>
    <s v="Visayas"/>
    <x v="3"/>
    <x v="0"/>
  </r>
  <r>
    <x v="10"/>
    <x v="2"/>
    <n v="237842"/>
    <s v="Visayas"/>
    <x v="3"/>
    <x v="0"/>
  </r>
  <r>
    <x v="10"/>
    <x v="3"/>
    <n v="232639"/>
    <s v="Visayas"/>
    <x v="3"/>
    <x v="0"/>
  </r>
  <r>
    <x v="11"/>
    <x v="0"/>
    <n v="4418"/>
    <s v="Mindanao"/>
    <x v="3"/>
    <x v="0"/>
  </r>
  <r>
    <x v="11"/>
    <x v="1"/>
    <n v="16575"/>
    <s v="Mindanao"/>
    <x v="3"/>
    <x v="0"/>
  </r>
  <r>
    <x v="11"/>
    <x v="2"/>
    <n v="246135"/>
    <s v="Mindanao"/>
    <x v="3"/>
    <x v="0"/>
  </r>
  <r>
    <x v="11"/>
    <x v="3"/>
    <n v="206343"/>
    <s v="Mindanao"/>
    <x v="3"/>
    <x v="0"/>
  </r>
  <r>
    <x v="12"/>
    <x v="0"/>
    <n v="1721"/>
    <s v="Mindanao"/>
    <x v="3"/>
    <x v="0"/>
  </r>
  <r>
    <x v="12"/>
    <x v="1"/>
    <n v="7251"/>
    <s v="Mindanao"/>
    <x v="3"/>
    <x v="0"/>
  </r>
  <r>
    <x v="12"/>
    <x v="2"/>
    <n v="202127"/>
    <s v="Mindanao"/>
    <x v="3"/>
    <x v="0"/>
  </r>
  <r>
    <x v="12"/>
    <x v="3"/>
    <n v="210854"/>
    <s v="Mindanao"/>
    <x v="3"/>
    <x v="0"/>
  </r>
  <r>
    <x v="13"/>
    <x v="0"/>
    <n v="1747"/>
    <s v="Mindanao"/>
    <x v="3"/>
    <x v="0"/>
  </r>
  <r>
    <x v="13"/>
    <x v="1"/>
    <n v="8843"/>
    <s v="Mindanao"/>
    <x v="3"/>
    <x v="0"/>
  </r>
  <r>
    <x v="13"/>
    <x v="2"/>
    <n v="201006"/>
    <s v="Mindanao"/>
    <x v="3"/>
    <x v="0"/>
  </r>
  <r>
    <x v="13"/>
    <x v="3"/>
    <n v="177787"/>
    <s v="Mindanao"/>
    <x v="3"/>
    <x v="0"/>
  </r>
  <r>
    <x v="14"/>
    <x v="0"/>
    <n v="1101"/>
    <s v="Mindanao"/>
    <x v="3"/>
    <x v="0"/>
  </r>
  <r>
    <x v="14"/>
    <x v="1"/>
    <n v="4730"/>
    <s v="Mindanao"/>
    <x v="3"/>
    <x v="0"/>
  </r>
  <r>
    <x v="14"/>
    <x v="2"/>
    <n v="155255"/>
    <s v="Mindanao"/>
    <x v="3"/>
    <x v="0"/>
  </r>
  <r>
    <x v="14"/>
    <x v="3"/>
    <n v="155629"/>
    <s v="Mindanao"/>
    <x v="3"/>
    <x v="0"/>
  </r>
  <r>
    <x v="15"/>
    <x v="0"/>
    <n v="3378"/>
    <s v="Mindanao"/>
    <x v="3"/>
    <x v="0"/>
  </r>
  <r>
    <x v="15"/>
    <x v="1"/>
    <n v="12597"/>
    <s v="Mindanao"/>
    <x v="3"/>
    <x v="0"/>
  </r>
  <r>
    <x v="15"/>
    <x v="2"/>
    <n v="160217"/>
    <s v="Mindanao"/>
    <x v="3"/>
    <x v="0"/>
  </r>
  <r>
    <x v="15"/>
    <x v="3"/>
    <n v="138828"/>
    <s v="Mindanao"/>
    <x v="3"/>
    <x v="0"/>
  </r>
  <r>
    <x v="16"/>
    <x v="0"/>
    <n v="550"/>
    <s v="Mindanao"/>
    <x v="3"/>
    <x v="0"/>
  </r>
  <r>
    <x v="16"/>
    <x v="1"/>
    <n v="2310"/>
    <s v="Mindanao"/>
    <x v="3"/>
    <x v="0"/>
  </r>
  <r>
    <x v="16"/>
    <x v="2"/>
    <n v="310950"/>
    <s v="Mindanao"/>
    <x v="3"/>
    <x v="0"/>
  </r>
  <r>
    <x v="16"/>
    <x v="3"/>
    <n v="390854"/>
    <s v="Mindanao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4Ps Children Count" cacheId="9" applyNumberFormats="0" applyBorderFormats="0" applyFontFormats="0" applyPatternFormats="0" applyAlignmentFormats="0" applyWidthHeightFormats="0" dataCaption="" updatedVersion="8" compact="0" compactData="0">
  <location ref="J5:O24" firstHeaderRow="1" firstDataRow="2" firstDataCol="1" rowPageCount="2" colPageCount="1"/>
  <pivotFields count="6">
    <pivotField name="Region" axis="axisRow" compact="0" outline="0" multipleItemSelectionAllowed="1" showAll="0" sortType="ascending">
      <items count="18">
        <item x="16"/>
        <item x="1"/>
        <item x="2"/>
        <item x="3"/>
        <item x="4"/>
        <item x="5"/>
        <item x="11"/>
        <item x="6"/>
        <item x="0"/>
        <item x="7"/>
        <item x="8"/>
        <item x="9"/>
        <item x="10"/>
        <item x="12"/>
        <item x="13"/>
        <item x="14"/>
        <item x="15"/>
        <item t="default"/>
      </items>
    </pivotField>
    <pivotField name="Age" axis="axisPage" compact="0" numFmtId="49" outline="0" multipleItemSelectionAllowed="1" showAll="0">
      <items count="5">
        <item x="0"/>
        <item x="1"/>
        <item x="2"/>
        <item x="3"/>
        <item t="default"/>
      </items>
    </pivotField>
    <pivotField name="Total" dataField="1" compact="0" outline="0" multipleItemSelectionAllowed="1" showAll="0"/>
    <pivotField name="Island" compact="0" outline="0" multipleItemSelectionAllowed="1" showAll="0"/>
    <pivotField name="Quarter" axis="axisCol" compact="0" outline="0" showAll="0">
      <items count="5">
        <item x="0"/>
        <item x="1"/>
        <item x="2"/>
        <item x="3"/>
        <item t="default"/>
      </items>
    </pivotField>
    <pivotField name="Year" axis="axisPage" compact="0" outline="0" multipleItemSelectionAllowed="1" showAll="0">
      <items count="2">
        <item x="0"/>
        <item t="default"/>
      </items>
    </pivotField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pageFields count="2">
    <pageField fld="5" hier="0"/>
    <pageField fld="1" hier="0"/>
  </pageFields>
  <dataFields count="1">
    <dataField name="SUM of Total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265"/>
  <sheetViews>
    <sheetView tabSelected="1" workbookViewId="0">
      <selection activeCell="F28" sqref="F28"/>
    </sheetView>
  </sheetViews>
  <sheetFormatPr baseColWidth="10" defaultColWidth="12.6640625" defaultRowHeight="15.75" customHeight="1" x14ac:dyDescent="0.15"/>
  <sheetData>
    <row r="1" spans="1:2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2" ht="15.75" customHeight="1" x14ac:dyDescent="0.15">
      <c r="A2" s="2" t="s">
        <v>7</v>
      </c>
      <c r="B2" s="3" t="s">
        <v>8</v>
      </c>
      <c r="C2" s="4">
        <v>2616</v>
      </c>
      <c r="D2" s="2" t="s">
        <v>9</v>
      </c>
      <c r="E2" s="2" t="s">
        <v>10</v>
      </c>
      <c r="F2" s="4">
        <v>2020</v>
      </c>
      <c r="J2" s="11" t="s">
        <v>5</v>
      </c>
      <c r="K2" s="12">
        <v>2020</v>
      </c>
    </row>
    <row r="3" spans="1:22" ht="15.75" customHeight="1" x14ac:dyDescent="0.15">
      <c r="A3" s="2" t="s">
        <v>7</v>
      </c>
      <c r="B3" s="3" t="s">
        <v>12</v>
      </c>
      <c r="C3" s="4">
        <v>7713</v>
      </c>
      <c r="D3" s="2" t="s">
        <v>9</v>
      </c>
      <c r="E3" s="2" t="s">
        <v>10</v>
      </c>
      <c r="F3" s="4">
        <v>2020</v>
      </c>
      <c r="J3" s="11" t="s">
        <v>1</v>
      </c>
      <c r="K3" s="10" t="s">
        <v>42</v>
      </c>
    </row>
    <row r="4" spans="1:22" ht="15.75" customHeight="1" x14ac:dyDescent="0.15">
      <c r="A4" s="2" t="s">
        <v>7</v>
      </c>
      <c r="B4" s="3" t="s">
        <v>14</v>
      </c>
      <c r="C4" s="4">
        <v>216848</v>
      </c>
      <c r="D4" s="2" t="s">
        <v>9</v>
      </c>
      <c r="E4" s="2" t="s">
        <v>10</v>
      </c>
      <c r="F4" s="4">
        <v>2020</v>
      </c>
    </row>
    <row r="5" spans="1:22" ht="15.75" customHeight="1" x14ac:dyDescent="0.15">
      <c r="A5" s="2" t="s">
        <v>7</v>
      </c>
      <c r="B5" s="3" t="s">
        <v>16</v>
      </c>
      <c r="C5" s="4">
        <v>170234</v>
      </c>
      <c r="D5" s="2" t="s">
        <v>9</v>
      </c>
      <c r="E5" s="2" t="s">
        <v>10</v>
      </c>
      <c r="F5" s="4">
        <v>2020</v>
      </c>
      <c r="J5" s="5" t="s">
        <v>6</v>
      </c>
      <c r="K5" s="5" t="s">
        <v>4</v>
      </c>
      <c r="L5" s="13"/>
      <c r="M5" s="13"/>
      <c r="N5" s="13"/>
      <c r="O5" s="14"/>
    </row>
    <row r="6" spans="1:22" ht="15.75" customHeight="1" x14ac:dyDescent="0.15">
      <c r="A6" s="2" t="s">
        <v>13</v>
      </c>
      <c r="B6" s="3" t="s">
        <v>8</v>
      </c>
      <c r="C6" s="4">
        <v>1531</v>
      </c>
      <c r="D6" s="2" t="s">
        <v>9</v>
      </c>
      <c r="E6" s="2" t="s">
        <v>10</v>
      </c>
      <c r="F6" s="4">
        <v>2020</v>
      </c>
      <c r="J6" s="5" t="s">
        <v>0</v>
      </c>
      <c r="K6" s="7" t="s">
        <v>10</v>
      </c>
      <c r="L6" s="15" t="s">
        <v>33</v>
      </c>
      <c r="M6" s="15" t="s">
        <v>34</v>
      </c>
      <c r="N6" s="15" t="s">
        <v>35</v>
      </c>
      <c r="O6" s="6" t="s">
        <v>30</v>
      </c>
      <c r="Q6" t="s">
        <v>0</v>
      </c>
      <c r="R6" t="s">
        <v>10</v>
      </c>
      <c r="S6" t="s">
        <v>33</v>
      </c>
      <c r="T6" t="s">
        <v>34</v>
      </c>
      <c r="U6" t="s">
        <v>35</v>
      </c>
      <c r="V6" s="18" t="s">
        <v>36</v>
      </c>
    </row>
    <row r="7" spans="1:22" ht="15.75" customHeight="1" x14ac:dyDescent="0.15">
      <c r="A7" s="2" t="s">
        <v>13</v>
      </c>
      <c r="B7" s="3" t="s">
        <v>12</v>
      </c>
      <c r="C7" s="4">
        <v>4721</v>
      </c>
      <c r="D7" s="2" t="s">
        <v>9</v>
      </c>
      <c r="E7" s="2" t="s">
        <v>10</v>
      </c>
      <c r="F7" s="4">
        <v>2020</v>
      </c>
      <c r="J7" s="7" t="s">
        <v>11</v>
      </c>
      <c r="K7" s="38">
        <v>706850</v>
      </c>
      <c r="L7" s="39">
        <v>684820</v>
      </c>
      <c r="M7" s="39">
        <v>655101</v>
      </c>
      <c r="N7" s="39">
        <v>704664</v>
      </c>
      <c r="O7" s="40">
        <v>2751435</v>
      </c>
      <c r="Q7" t="s">
        <v>11</v>
      </c>
      <c r="R7">
        <v>706850</v>
      </c>
      <c r="S7">
        <v>684820</v>
      </c>
      <c r="T7">
        <v>655101</v>
      </c>
      <c r="U7">
        <v>704664</v>
      </c>
      <c r="V7" s="19">
        <f>MEDIAN(R7:U7)</f>
        <v>694742</v>
      </c>
    </row>
    <row r="8" spans="1:22" ht="15.75" customHeight="1" x14ac:dyDescent="0.15">
      <c r="A8" s="2" t="s">
        <v>13</v>
      </c>
      <c r="B8" s="3" t="s">
        <v>14</v>
      </c>
      <c r="C8" s="4">
        <v>53543</v>
      </c>
      <c r="D8" s="2" t="s">
        <v>9</v>
      </c>
      <c r="E8" s="2" t="s">
        <v>10</v>
      </c>
      <c r="F8" s="4">
        <v>2020</v>
      </c>
      <c r="J8" s="8" t="s">
        <v>13</v>
      </c>
      <c r="K8" s="41">
        <v>109800</v>
      </c>
      <c r="L8" s="42">
        <v>108268</v>
      </c>
      <c r="M8" s="42">
        <v>106106</v>
      </c>
      <c r="N8" s="42">
        <v>101818</v>
      </c>
      <c r="O8" s="43">
        <v>425992</v>
      </c>
      <c r="Q8" t="s">
        <v>13</v>
      </c>
      <c r="R8">
        <v>109800</v>
      </c>
      <c r="S8">
        <v>108268</v>
      </c>
      <c r="T8">
        <v>106106</v>
      </c>
      <c r="U8">
        <v>101818</v>
      </c>
      <c r="V8" s="19">
        <f t="shared" ref="V8:V23" si="0">MEDIAN(R8:U8)</f>
        <v>107187</v>
      </c>
    </row>
    <row r="9" spans="1:22" ht="15.75" customHeight="1" x14ac:dyDescent="0.15">
      <c r="A9" s="2" t="s">
        <v>13</v>
      </c>
      <c r="B9" s="3" t="s">
        <v>16</v>
      </c>
      <c r="C9" s="4">
        <v>50005</v>
      </c>
      <c r="D9" s="2" t="s">
        <v>9</v>
      </c>
      <c r="E9" s="2" t="s">
        <v>10</v>
      </c>
      <c r="F9" s="4">
        <v>2020</v>
      </c>
      <c r="J9" s="8" t="s">
        <v>15</v>
      </c>
      <c r="K9" s="41">
        <v>390862</v>
      </c>
      <c r="L9" s="42">
        <v>385096</v>
      </c>
      <c r="M9" s="42">
        <v>378493</v>
      </c>
      <c r="N9" s="42">
        <v>374982</v>
      </c>
      <c r="O9" s="43">
        <v>1529433</v>
      </c>
      <c r="Q9" t="s">
        <v>15</v>
      </c>
      <c r="R9">
        <v>390862</v>
      </c>
      <c r="S9">
        <v>385096</v>
      </c>
      <c r="T9">
        <v>378493</v>
      </c>
      <c r="U9">
        <v>374982</v>
      </c>
      <c r="V9" s="19">
        <f t="shared" si="0"/>
        <v>381794.5</v>
      </c>
    </row>
    <row r="10" spans="1:22" ht="15.75" customHeight="1" x14ac:dyDescent="0.15">
      <c r="A10" s="2" t="s">
        <v>15</v>
      </c>
      <c r="B10" s="3" t="s">
        <v>8</v>
      </c>
      <c r="C10" s="4">
        <v>5484</v>
      </c>
      <c r="D10" s="2" t="s">
        <v>9</v>
      </c>
      <c r="E10" s="2" t="s">
        <v>10</v>
      </c>
      <c r="F10" s="4">
        <v>2020</v>
      </c>
      <c r="J10" s="8" t="s">
        <v>17</v>
      </c>
      <c r="K10" s="41">
        <v>192446</v>
      </c>
      <c r="L10" s="42">
        <v>195073</v>
      </c>
      <c r="M10" s="42">
        <v>191407</v>
      </c>
      <c r="N10" s="42">
        <v>189235</v>
      </c>
      <c r="O10" s="43">
        <v>768161</v>
      </c>
      <c r="Q10" t="s">
        <v>17</v>
      </c>
      <c r="R10">
        <v>192446</v>
      </c>
      <c r="S10">
        <v>195073</v>
      </c>
      <c r="T10">
        <v>191407</v>
      </c>
      <c r="U10">
        <v>189235</v>
      </c>
      <c r="V10" s="19">
        <f t="shared" si="0"/>
        <v>191926.5</v>
      </c>
    </row>
    <row r="11" spans="1:22" ht="15.75" customHeight="1" x14ac:dyDescent="0.15">
      <c r="A11" s="2" t="s">
        <v>15</v>
      </c>
      <c r="B11" s="3" t="s">
        <v>12</v>
      </c>
      <c r="C11" s="4">
        <v>18833</v>
      </c>
      <c r="D11" s="2" t="s">
        <v>9</v>
      </c>
      <c r="E11" s="2" t="s">
        <v>10</v>
      </c>
      <c r="F11" s="4">
        <v>2020</v>
      </c>
      <c r="J11" s="8" t="s">
        <v>18</v>
      </c>
      <c r="K11" s="41">
        <v>535756</v>
      </c>
      <c r="L11" s="42">
        <v>541571</v>
      </c>
      <c r="M11" s="42">
        <v>528756</v>
      </c>
      <c r="N11" s="42">
        <v>519573</v>
      </c>
      <c r="O11" s="43">
        <v>2125656</v>
      </c>
      <c r="Q11" t="s">
        <v>18</v>
      </c>
      <c r="R11">
        <v>535756</v>
      </c>
      <c r="S11">
        <v>541571</v>
      </c>
      <c r="T11">
        <v>528756</v>
      </c>
      <c r="U11">
        <v>519573</v>
      </c>
      <c r="V11" s="19">
        <f t="shared" si="0"/>
        <v>532256</v>
      </c>
    </row>
    <row r="12" spans="1:22" ht="15.75" customHeight="1" x14ac:dyDescent="0.15">
      <c r="A12" s="2" t="s">
        <v>15</v>
      </c>
      <c r="B12" s="3" t="s">
        <v>14</v>
      </c>
      <c r="C12" s="4">
        <v>209712</v>
      </c>
      <c r="D12" s="2" t="s">
        <v>9</v>
      </c>
      <c r="E12" s="2" t="s">
        <v>10</v>
      </c>
      <c r="F12" s="4">
        <v>2020</v>
      </c>
      <c r="J12" s="8" t="s">
        <v>19</v>
      </c>
      <c r="K12" s="41">
        <v>608082</v>
      </c>
      <c r="L12" s="42">
        <v>616053</v>
      </c>
      <c r="M12" s="42">
        <v>604615</v>
      </c>
      <c r="N12" s="42">
        <v>589737</v>
      </c>
      <c r="O12" s="43">
        <v>2418487</v>
      </c>
      <c r="Q12" t="s">
        <v>19</v>
      </c>
      <c r="R12">
        <v>608082</v>
      </c>
      <c r="S12">
        <v>616053</v>
      </c>
      <c r="T12">
        <v>604615</v>
      </c>
      <c r="U12">
        <v>589737</v>
      </c>
      <c r="V12" s="19">
        <f t="shared" si="0"/>
        <v>606348.5</v>
      </c>
    </row>
    <row r="13" spans="1:22" ht="15.75" customHeight="1" x14ac:dyDescent="0.15">
      <c r="A13" s="2" t="s">
        <v>15</v>
      </c>
      <c r="B13" s="3" t="s">
        <v>16</v>
      </c>
      <c r="C13" s="4">
        <v>156833</v>
      </c>
      <c r="D13" s="2" t="s">
        <v>9</v>
      </c>
      <c r="E13" s="2" t="s">
        <v>10</v>
      </c>
      <c r="F13" s="4">
        <v>2020</v>
      </c>
      <c r="J13" s="8" t="s">
        <v>20</v>
      </c>
      <c r="K13" s="41">
        <v>500054</v>
      </c>
      <c r="L13" s="42">
        <v>495969</v>
      </c>
      <c r="M13" s="42">
        <v>486182</v>
      </c>
      <c r="N13" s="42">
        <v>473471</v>
      </c>
      <c r="O13" s="43">
        <v>1955676</v>
      </c>
      <c r="Q13" t="s">
        <v>20</v>
      </c>
      <c r="R13">
        <v>500054</v>
      </c>
      <c r="S13">
        <v>495969</v>
      </c>
      <c r="T13">
        <v>486182</v>
      </c>
      <c r="U13">
        <v>473471</v>
      </c>
      <c r="V13" s="19">
        <f t="shared" si="0"/>
        <v>491075.5</v>
      </c>
    </row>
    <row r="14" spans="1:22" ht="15.75" customHeight="1" x14ac:dyDescent="0.15">
      <c r="A14" s="2" t="s">
        <v>17</v>
      </c>
      <c r="B14" s="3" t="s">
        <v>8</v>
      </c>
      <c r="C14" s="4">
        <v>2029</v>
      </c>
      <c r="D14" s="2" t="s">
        <v>9</v>
      </c>
      <c r="E14" s="2" t="s">
        <v>10</v>
      </c>
      <c r="F14" s="4">
        <v>2020</v>
      </c>
      <c r="J14" s="8" t="s">
        <v>21</v>
      </c>
      <c r="K14" s="41">
        <v>359156</v>
      </c>
      <c r="L14" s="42">
        <v>353569</v>
      </c>
      <c r="M14" s="42">
        <v>349956</v>
      </c>
      <c r="N14" s="42">
        <v>341434</v>
      </c>
      <c r="O14" s="43">
        <v>1404115</v>
      </c>
      <c r="Q14" t="s">
        <v>21</v>
      </c>
      <c r="R14">
        <v>359156</v>
      </c>
      <c r="S14">
        <v>353569</v>
      </c>
      <c r="T14">
        <v>349956</v>
      </c>
      <c r="U14">
        <v>341434</v>
      </c>
      <c r="V14" s="19">
        <f t="shared" si="0"/>
        <v>351762.5</v>
      </c>
    </row>
    <row r="15" spans="1:22" ht="15.75" customHeight="1" x14ac:dyDescent="0.15">
      <c r="A15" s="2" t="s">
        <v>17</v>
      </c>
      <c r="B15" s="3" t="s">
        <v>12</v>
      </c>
      <c r="C15" s="4">
        <v>7106</v>
      </c>
      <c r="D15" s="2" t="s">
        <v>9</v>
      </c>
      <c r="E15" s="2" t="s">
        <v>10</v>
      </c>
      <c r="F15" s="4">
        <v>2020</v>
      </c>
      <c r="J15" s="8" t="s">
        <v>7</v>
      </c>
      <c r="K15" s="41">
        <v>397411</v>
      </c>
      <c r="L15" s="42">
        <v>408502</v>
      </c>
      <c r="M15" s="42">
        <v>400389</v>
      </c>
      <c r="N15" s="42">
        <v>382728</v>
      </c>
      <c r="O15" s="43">
        <v>1589030</v>
      </c>
      <c r="Q15" t="s">
        <v>7</v>
      </c>
      <c r="R15">
        <v>397411</v>
      </c>
      <c r="S15">
        <v>408502</v>
      </c>
      <c r="T15">
        <v>400389</v>
      </c>
      <c r="U15">
        <v>382728</v>
      </c>
      <c r="V15" s="19">
        <f t="shared" si="0"/>
        <v>398900</v>
      </c>
    </row>
    <row r="16" spans="1:22" ht="15.75" customHeight="1" x14ac:dyDescent="0.15">
      <c r="A16" s="2" t="s">
        <v>17</v>
      </c>
      <c r="B16" s="3" t="s">
        <v>14</v>
      </c>
      <c r="C16" s="4">
        <v>103150</v>
      </c>
      <c r="D16" s="2" t="s">
        <v>9</v>
      </c>
      <c r="E16" s="2" t="s">
        <v>10</v>
      </c>
      <c r="F16" s="4">
        <v>2020</v>
      </c>
      <c r="J16" s="8" t="s">
        <v>22</v>
      </c>
      <c r="K16" s="41">
        <v>728048</v>
      </c>
      <c r="L16" s="42">
        <v>733748</v>
      </c>
      <c r="M16" s="42">
        <v>725394</v>
      </c>
      <c r="N16" s="42">
        <v>711658</v>
      </c>
      <c r="O16" s="43">
        <v>2898848</v>
      </c>
      <c r="Q16" t="s">
        <v>22</v>
      </c>
      <c r="R16">
        <v>728048</v>
      </c>
      <c r="S16">
        <v>733748</v>
      </c>
      <c r="T16">
        <v>725394</v>
      </c>
      <c r="U16">
        <v>711658</v>
      </c>
      <c r="V16" s="19">
        <f t="shared" si="0"/>
        <v>726721</v>
      </c>
    </row>
    <row r="17" spans="1:22" ht="15.75" customHeight="1" x14ac:dyDescent="0.15">
      <c r="A17" s="2" t="s">
        <v>17</v>
      </c>
      <c r="B17" s="3" t="s">
        <v>16</v>
      </c>
      <c r="C17" s="4">
        <v>80161</v>
      </c>
      <c r="D17" s="2" t="s">
        <v>9</v>
      </c>
      <c r="E17" s="2" t="s">
        <v>10</v>
      </c>
      <c r="F17" s="4">
        <v>2020</v>
      </c>
      <c r="J17" s="8" t="s">
        <v>23</v>
      </c>
      <c r="K17" s="41">
        <v>638105</v>
      </c>
      <c r="L17" s="42">
        <v>631919</v>
      </c>
      <c r="M17" s="42">
        <v>617711</v>
      </c>
      <c r="N17" s="42">
        <v>607903</v>
      </c>
      <c r="O17" s="43">
        <v>2495638</v>
      </c>
      <c r="Q17" t="s">
        <v>23</v>
      </c>
      <c r="R17">
        <v>638105</v>
      </c>
      <c r="S17">
        <v>631919</v>
      </c>
      <c r="T17">
        <v>617711</v>
      </c>
      <c r="U17">
        <v>607903</v>
      </c>
      <c r="V17" s="19">
        <f t="shared" si="0"/>
        <v>624815</v>
      </c>
    </row>
    <row r="18" spans="1:22" ht="15.75" customHeight="1" x14ac:dyDescent="0.15">
      <c r="A18" s="2" t="s">
        <v>18</v>
      </c>
      <c r="B18" s="3" t="s">
        <v>8</v>
      </c>
      <c r="C18" s="4">
        <v>2969</v>
      </c>
      <c r="D18" s="2" t="s">
        <v>9</v>
      </c>
      <c r="E18" s="2" t="s">
        <v>10</v>
      </c>
      <c r="F18" s="4">
        <v>2020</v>
      </c>
      <c r="J18" s="8" t="s">
        <v>24</v>
      </c>
      <c r="K18" s="41">
        <v>546617</v>
      </c>
      <c r="L18" s="42">
        <v>548075</v>
      </c>
      <c r="M18" s="42">
        <v>534619</v>
      </c>
      <c r="N18" s="42">
        <v>520212</v>
      </c>
      <c r="O18" s="43">
        <v>2149523</v>
      </c>
      <c r="Q18" t="s">
        <v>24</v>
      </c>
      <c r="R18">
        <v>546617</v>
      </c>
      <c r="S18">
        <v>548075</v>
      </c>
      <c r="T18">
        <v>534619</v>
      </c>
      <c r="U18">
        <v>520212</v>
      </c>
      <c r="V18" s="19">
        <f t="shared" si="0"/>
        <v>540618</v>
      </c>
    </row>
    <row r="19" spans="1:22" ht="15.75" customHeight="1" x14ac:dyDescent="0.15">
      <c r="A19" s="2" t="s">
        <v>18</v>
      </c>
      <c r="B19" s="3" t="s">
        <v>12</v>
      </c>
      <c r="C19" s="4">
        <v>11921</v>
      </c>
      <c r="D19" s="2" t="s">
        <v>9</v>
      </c>
      <c r="E19" s="2" t="s">
        <v>10</v>
      </c>
      <c r="F19" s="4">
        <v>2020</v>
      </c>
      <c r="J19" s="8" t="s">
        <v>25</v>
      </c>
      <c r="K19" s="41">
        <v>518987</v>
      </c>
      <c r="L19" s="42">
        <v>511262</v>
      </c>
      <c r="M19" s="42">
        <v>498338</v>
      </c>
      <c r="N19" s="42">
        <v>486430</v>
      </c>
      <c r="O19" s="43">
        <v>2015017</v>
      </c>
      <c r="Q19" t="s">
        <v>25</v>
      </c>
      <c r="R19">
        <v>518987</v>
      </c>
      <c r="S19">
        <v>511262</v>
      </c>
      <c r="T19">
        <v>498338</v>
      </c>
      <c r="U19">
        <v>486430</v>
      </c>
      <c r="V19" s="19">
        <f t="shared" si="0"/>
        <v>504800</v>
      </c>
    </row>
    <row r="20" spans="1:22" ht="15.75" customHeight="1" x14ac:dyDescent="0.15">
      <c r="A20" s="2" t="s">
        <v>18</v>
      </c>
      <c r="B20" s="3" t="s">
        <v>14</v>
      </c>
      <c r="C20" s="4">
        <v>294622</v>
      </c>
      <c r="D20" s="2" t="s">
        <v>9</v>
      </c>
      <c r="E20" s="2" t="s">
        <v>10</v>
      </c>
      <c r="F20" s="4">
        <v>2020</v>
      </c>
      <c r="J20" s="8" t="s">
        <v>26</v>
      </c>
      <c r="K20" s="41">
        <v>453132</v>
      </c>
      <c r="L20" s="42">
        <v>448017</v>
      </c>
      <c r="M20" s="42">
        <v>437115</v>
      </c>
      <c r="N20" s="42">
        <v>421953</v>
      </c>
      <c r="O20" s="43">
        <v>1760217</v>
      </c>
      <c r="Q20" t="s">
        <v>26</v>
      </c>
      <c r="R20">
        <v>453132</v>
      </c>
      <c r="S20">
        <v>448017</v>
      </c>
      <c r="T20">
        <v>437115</v>
      </c>
      <c r="U20">
        <v>421953</v>
      </c>
      <c r="V20" s="19">
        <f t="shared" si="0"/>
        <v>442566</v>
      </c>
    </row>
    <row r="21" spans="1:22" ht="15.75" customHeight="1" x14ac:dyDescent="0.15">
      <c r="A21" s="2" t="s">
        <v>18</v>
      </c>
      <c r="B21" s="3" t="s">
        <v>16</v>
      </c>
      <c r="C21" s="4">
        <v>226244</v>
      </c>
      <c r="D21" s="2" t="s">
        <v>9</v>
      </c>
      <c r="E21" s="2" t="s">
        <v>10</v>
      </c>
      <c r="F21" s="4">
        <v>2020</v>
      </c>
      <c r="J21" s="8" t="s">
        <v>27</v>
      </c>
      <c r="K21" s="41">
        <v>411581</v>
      </c>
      <c r="L21" s="42">
        <v>409177</v>
      </c>
      <c r="M21" s="42">
        <v>399908</v>
      </c>
      <c r="N21" s="42">
        <v>389383</v>
      </c>
      <c r="O21" s="43">
        <v>1610049</v>
      </c>
      <c r="Q21" t="s">
        <v>27</v>
      </c>
      <c r="R21">
        <v>411581</v>
      </c>
      <c r="S21">
        <v>409177</v>
      </c>
      <c r="T21">
        <v>399908</v>
      </c>
      <c r="U21">
        <v>389383</v>
      </c>
      <c r="V21" s="19">
        <f t="shared" si="0"/>
        <v>404542.5</v>
      </c>
    </row>
    <row r="22" spans="1:22" ht="15.75" customHeight="1" x14ac:dyDescent="0.15">
      <c r="A22" s="2" t="s">
        <v>19</v>
      </c>
      <c r="B22" s="3" t="s">
        <v>8</v>
      </c>
      <c r="C22" s="4">
        <v>6029</v>
      </c>
      <c r="D22" s="2" t="s">
        <v>9</v>
      </c>
      <c r="E22" s="2" t="s">
        <v>10</v>
      </c>
      <c r="F22" s="4">
        <v>2020</v>
      </c>
      <c r="J22" s="8" t="s">
        <v>28</v>
      </c>
      <c r="K22" s="41">
        <v>408433</v>
      </c>
      <c r="L22" s="42">
        <v>411718</v>
      </c>
      <c r="M22" s="42">
        <v>395168</v>
      </c>
      <c r="N22" s="42">
        <v>316715</v>
      </c>
      <c r="O22" s="43">
        <v>1532034</v>
      </c>
      <c r="Q22" t="s">
        <v>28</v>
      </c>
      <c r="R22">
        <v>408433</v>
      </c>
      <c r="S22">
        <v>411718</v>
      </c>
      <c r="T22">
        <v>395168</v>
      </c>
      <c r="U22">
        <v>316715</v>
      </c>
      <c r="V22" s="19">
        <f t="shared" si="0"/>
        <v>401800.5</v>
      </c>
    </row>
    <row r="23" spans="1:22" ht="15.75" customHeight="1" x14ac:dyDescent="0.15">
      <c r="A23" s="2" t="s">
        <v>19</v>
      </c>
      <c r="B23" s="3" t="s">
        <v>12</v>
      </c>
      <c r="C23" s="4">
        <v>19467</v>
      </c>
      <c r="D23" s="2" t="s">
        <v>9</v>
      </c>
      <c r="E23" s="2" t="s">
        <v>10</v>
      </c>
      <c r="F23" s="4">
        <v>2020</v>
      </c>
      <c r="J23" s="8" t="s">
        <v>29</v>
      </c>
      <c r="K23" s="41">
        <v>329619</v>
      </c>
      <c r="L23" s="42"/>
      <c r="M23" s="42"/>
      <c r="N23" s="42">
        <v>315020</v>
      </c>
      <c r="O23" s="43">
        <v>644639</v>
      </c>
      <c r="Q23" t="s">
        <v>29</v>
      </c>
      <c r="R23">
        <v>329619</v>
      </c>
      <c r="U23">
        <v>315020</v>
      </c>
      <c r="V23" s="19">
        <f t="shared" si="0"/>
        <v>322319.5</v>
      </c>
    </row>
    <row r="24" spans="1:22" ht="15.75" customHeight="1" x14ac:dyDescent="0.15">
      <c r="A24" s="2" t="s">
        <v>19</v>
      </c>
      <c r="B24" s="3" t="s">
        <v>14</v>
      </c>
      <c r="C24" s="4">
        <v>326299</v>
      </c>
      <c r="D24" s="2" t="s">
        <v>9</v>
      </c>
      <c r="E24" s="2" t="s">
        <v>10</v>
      </c>
      <c r="F24" s="4">
        <v>2020</v>
      </c>
      <c r="J24" s="9" t="s">
        <v>30</v>
      </c>
      <c r="K24" s="44">
        <v>7834939</v>
      </c>
      <c r="L24" s="45">
        <v>7482837</v>
      </c>
      <c r="M24" s="45">
        <v>7309258</v>
      </c>
      <c r="N24" s="45">
        <v>7446916</v>
      </c>
      <c r="O24" s="46">
        <v>30073950</v>
      </c>
    </row>
    <row r="25" spans="1:22" ht="15.75" customHeight="1" x14ac:dyDescent="0.15">
      <c r="A25" s="2" t="s">
        <v>19</v>
      </c>
      <c r="B25" s="3" t="s">
        <v>16</v>
      </c>
      <c r="C25" s="4">
        <v>256287</v>
      </c>
      <c r="D25" s="2" t="s">
        <v>9</v>
      </c>
      <c r="E25" s="2" t="s">
        <v>10</v>
      </c>
      <c r="F25" s="4">
        <v>2020</v>
      </c>
    </row>
    <row r="26" spans="1:22" ht="15.75" customHeight="1" x14ac:dyDescent="0.15">
      <c r="A26" s="2" t="s">
        <v>21</v>
      </c>
      <c r="B26" s="3" t="s">
        <v>8</v>
      </c>
      <c r="C26" s="4">
        <v>5734</v>
      </c>
      <c r="D26" s="2" t="s">
        <v>9</v>
      </c>
      <c r="E26" s="2" t="s">
        <v>10</v>
      </c>
      <c r="F26" s="4">
        <v>2020</v>
      </c>
    </row>
    <row r="27" spans="1:22" ht="15.75" customHeight="1" x14ac:dyDescent="0.15">
      <c r="A27" s="2" t="s">
        <v>21</v>
      </c>
      <c r="B27" s="3" t="s">
        <v>12</v>
      </c>
      <c r="C27" s="4">
        <v>19927</v>
      </c>
      <c r="D27" s="2" t="s">
        <v>9</v>
      </c>
      <c r="E27" s="2" t="s">
        <v>10</v>
      </c>
      <c r="F27" s="4">
        <v>2020</v>
      </c>
    </row>
    <row r="28" spans="1:22" ht="15.75" customHeight="1" x14ac:dyDescent="0.15">
      <c r="A28" s="2" t="s">
        <v>21</v>
      </c>
      <c r="B28" s="3" t="s">
        <v>14</v>
      </c>
      <c r="C28" s="4">
        <v>181815</v>
      </c>
      <c r="D28" s="2" t="s">
        <v>9</v>
      </c>
      <c r="E28" s="2" t="s">
        <v>10</v>
      </c>
      <c r="F28" s="4">
        <v>2020</v>
      </c>
    </row>
    <row r="29" spans="1:22" ht="15.75" customHeight="1" x14ac:dyDescent="0.15">
      <c r="A29" s="2" t="s">
        <v>21</v>
      </c>
      <c r="B29" s="3" t="s">
        <v>16</v>
      </c>
      <c r="C29" s="4">
        <v>151680</v>
      </c>
      <c r="D29" s="2" t="s">
        <v>9</v>
      </c>
      <c r="E29" s="2" t="s">
        <v>10</v>
      </c>
      <c r="F29" s="4">
        <v>2020</v>
      </c>
    </row>
    <row r="30" spans="1:22" ht="15.75" customHeight="1" x14ac:dyDescent="0.15">
      <c r="A30" s="2" t="s">
        <v>22</v>
      </c>
      <c r="B30" s="3" t="s">
        <v>8</v>
      </c>
      <c r="C30" s="4">
        <v>4945</v>
      </c>
      <c r="D30" s="2" t="s">
        <v>9</v>
      </c>
      <c r="E30" s="2" t="s">
        <v>10</v>
      </c>
      <c r="F30" s="4">
        <v>2020</v>
      </c>
    </row>
    <row r="31" spans="1:22" ht="15.75" customHeight="1" x14ac:dyDescent="0.15">
      <c r="A31" s="2" t="s">
        <v>22</v>
      </c>
      <c r="B31" s="3" t="s">
        <v>12</v>
      </c>
      <c r="C31" s="4">
        <v>16623</v>
      </c>
      <c r="D31" s="2" t="s">
        <v>9</v>
      </c>
      <c r="E31" s="2" t="s">
        <v>10</v>
      </c>
      <c r="F31" s="4">
        <v>2020</v>
      </c>
    </row>
    <row r="32" spans="1:22" ht="15.75" customHeight="1" x14ac:dyDescent="0.15">
      <c r="A32" s="2" t="s">
        <v>22</v>
      </c>
      <c r="B32" s="3" t="s">
        <v>14</v>
      </c>
      <c r="C32" s="4">
        <v>375497</v>
      </c>
      <c r="D32" s="2" t="s">
        <v>9</v>
      </c>
      <c r="E32" s="2" t="s">
        <v>10</v>
      </c>
      <c r="F32" s="4">
        <v>2020</v>
      </c>
    </row>
    <row r="33" spans="1:6" ht="15.75" customHeight="1" x14ac:dyDescent="0.15">
      <c r="A33" s="2" t="s">
        <v>22</v>
      </c>
      <c r="B33" s="3" t="s">
        <v>16</v>
      </c>
      <c r="C33" s="4">
        <v>330983</v>
      </c>
      <c r="D33" s="2" t="s">
        <v>9</v>
      </c>
      <c r="E33" s="2" t="s">
        <v>10</v>
      </c>
      <c r="F33" s="4">
        <v>2020</v>
      </c>
    </row>
    <row r="34" spans="1:6" ht="15.75" customHeight="1" x14ac:dyDescent="0.15">
      <c r="A34" s="2" t="s">
        <v>23</v>
      </c>
      <c r="B34" s="3" t="s">
        <v>8</v>
      </c>
      <c r="C34" s="4">
        <v>7622</v>
      </c>
      <c r="D34" s="2" t="s">
        <v>31</v>
      </c>
      <c r="E34" s="2" t="s">
        <v>10</v>
      </c>
      <c r="F34" s="4">
        <v>2020</v>
      </c>
    </row>
    <row r="35" spans="1:6" ht="15.75" customHeight="1" x14ac:dyDescent="0.15">
      <c r="A35" s="2" t="s">
        <v>23</v>
      </c>
      <c r="B35" s="3" t="s">
        <v>12</v>
      </c>
      <c r="C35" s="4">
        <v>21727</v>
      </c>
      <c r="D35" s="2" t="s">
        <v>31</v>
      </c>
      <c r="E35" s="2" t="s">
        <v>10</v>
      </c>
      <c r="F35" s="4">
        <v>2020</v>
      </c>
    </row>
    <row r="36" spans="1:6" ht="15.75" customHeight="1" x14ac:dyDescent="0.15">
      <c r="A36" s="2" t="s">
        <v>23</v>
      </c>
      <c r="B36" s="3" t="s">
        <v>14</v>
      </c>
      <c r="C36" s="4">
        <v>334834</v>
      </c>
      <c r="D36" s="2" t="s">
        <v>31</v>
      </c>
      <c r="E36" s="2" t="s">
        <v>10</v>
      </c>
      <c r="F36" s="4">
        <v>2020</v>
      </c>
    </row>
    <row r="37" spans="1:6" ht="15.75" customHeight="1" x14ac:dyDescent="0.15">
      <c r="A37" s="2" t="s">
        <v>23</v>
      </c>
      <c r="B37" s="3" t="s">
        <v>16</v>
      </c>
      <c r="C37" s="4">
        <v>273922</v>
      </c>
      <c r="D37" s="2" t="s">
        <v>31</v>
      </c>
      <c r="E37" s="2" t="s">
        <v>10</v>
      </c>
      <c r="F37" s="4">
        <v>2020</v>
      </c>
    </row>
    <row r="38" spans="1:6" ht="15.75" customHeight="1" x14ac:dyDescent="0.15">
      <c r="A38" s="2" t="s">
        <v>24</v>
      </c>
      <c r="B38" s="3" t="s">
        <v>8</v>
      </c>
      <c r="C38" s="4">
        <v>4253</v>
      </c>
      <c r="D38" s="2" t="s">
        <v>31</v>
      </c>
      <c r="E38" s="2" t="s">
        <v>10</v>
      </c>
      <c r="F38" s="4">
        <v>2020</v>
      </c>
    </row>
    <row r="39" spans="1:6" ht="15.75" customHeight="1" x14ac:dyDescent="0.15">
      <c r="A39" s="2" t="s">
        <v>24</v>
      </c>
      <c r="B39" s="3" t="s">
        <v>12</v>
      </c>
      <c r="C39" s="4">
        <v>19965</v>
      </c>
      <c r="D39" s="2" t="s">
        <v>31</v>
      </c>
      <c r="E39" s="2" t="s">
        <v>10</v>
      </c>
      <c r="F39" s="4">
        <v>2020</v>
      </c>
    </row>
    <row r="40" spans="1:6" ht="15.75" customHeight="1" x14ac:dyDescent="0.15">
      <c r="A40" s="2" t="s">
        <v>24</v>
      </c>
      <c r="B40" s="3" t="s">
        <v>14</v>
      </c>
      <c r="C40" s="4">
        <v>290644</v>
      </c>
      <c r="D40" s="2" t="s">
        <v>31</v>
      </c>
      <c r="E40" s="2" t="s">
        <v>10</v>
      </c>
      <c r="F40" s="4">
        <v>2020</v>
      </c>
    </row>
    <row r="41" spans="1:6" ht="15.75" customHeight="1" x14ac:dyDescent="0.15">
      <c r="A41" s="2" t="s">
        <v>24</v>
      </c>
      <c r="B41" s="3" t="s">
        <v>16</v>
      </c>
      <c r="C41" s="4">
        <v>231755</v>
      </c>
      <c r="D41" s="2" t="s">
        <v>31</v>
      </c>
      <c r="E41" s="2" t="s">
        <v>10</v>
      </c>
      <c r="F41" s="4">
        <v>2020</v>
      </c>
    </row>
    <row r="42" spans="1:6" ht="15.75" customHeight="1" x14ac:dyDescent="0.15">
      <c r="A42" s="2" t="s">
        <v>25</v>
      </c>
      <c r="B42" s="3" t="s">
        <v>8</v>
      </c>
      <c r="C42" s="4">
        <v>3677</v>
      </c>
      <c r="D42" s="2" t="s">
        <v>31</v>
      </c>
      <c r="E42" s="2" t="s">
        <v>10</v>
      </c>
      <c r="F42" s="4">
        <v>2020</v>
      </c>
    </row>
    <row r="43" spans="1:6" ht="15.75" customHeight="1" x14ac:dyDescent="0.15">
      <c r="A43" s="2" t="s">
        <v>25</v>
      </c>
      <c r="B43" s="3" t="s">
        <v>12</v>
      </c>
      <c r="C43" s="4">
        <v>15972</v>
      </c>
      <c r="D43" s="2" t="s">
        <v>31</v>
      </c>
      <c r="E43" s="2" t="s">
        <v>10</v>
      </c>
      <c r="F43" s="4">
        <v>2020</v>
      </c>
    </row>
    <row r="44" spans="1:6" ht="15.75" customHeight="1" x14ac:dyDescent="0.15">
      <c r="A44" s="2" t="s">
        <v>25</v>
      </c>
      <c r="B44" s="3" t="s">
        <v>14</v>
      </c>
      <c r="C44" s="4">
        <v>268345</v>
      </c>
      <c r="D44" s="2" t="s">
        <v>31</v>
      </c>
      <c r="E44" s="2" t="s">
        <v>10</v>
      </c>
      <c r="F44" s="4">
        <v>2020</v>
      </c>
    </row>
    <row r="45" spans="1:6" ht="15.75" customHeight="1" x14ac:dyDescent="0.15">
      <c r="A45" s="2" t="s">
        <v>25</v>
      </c>
      <c r="B45" s="3" t="s">
        <v>16</v>
      </c>
      <c r="C45" s="4">
        <v>230993</v>
      </c>
      <c r="D45" s="2" t="s">
        <v>31</v>
      </c>
      <c r="E45" s="2" t="s">
        <v>10</v>
      </c>
      <c r="F45" s="4">
        <v>2020</v>
      </c>
    </row>
    <row r="46" spans="1:6" ht="15.75" customHeight="1" x14ac:dyDescent="0.15">
      <c r="A46" s="2" t="s">
        <v>20</v>
      </c>
      <c r="B46" s="3" t="s">
        <v>8</v>
      </c>
      <c r="C46" s="4">
        <v>4612</v>
      </c>
      <c r="D46" s="2" t="s">
        <v>32</v>
      </c>
      <c r="E46" s="2" t="s">
        <v>10</v>
      </c>
      <c r="F46" s="4">
        <v>2020</v>
      </c>
    </row>
    <row r="47" spans="1:6" ht="15.75" customHeight="1" x14ac:dyDescent="0.15">
      <c r="A47" s="2" t="s">
        <v>20</v>
      </c>
      <c r="B47" s="3" t="s">
        <v>12</v>
      </c>
      <c r="C47" s="4">
        <v>17775</v>
      </c>
      <c r="D47" s="2" t="s">
        <v>32</v>
      </c>
      <c r="E47" s="2" t="s">
        <v>10</v>
      </c>
      <c r="F47" s="4">
        <v>2020</v>
      </c>
    </row>
    <row r="48" spans="1:6" ht="15.75" customHeight="1" x14ac:dyDescent="0.15">
      <c r="A48" s="2" t="s">
        <v>20</v>
      </c>
      <c r="B48" s="3" t="s">
        <v>14</v>
      </c>
      <c r="C48" s="4">
        <v>273579</v>
      </c>
      <c r="D48" s="2" t="s">
        <v>32</v>
      </c>
      <c r="E48" s="2" t="s">
        <v>10</v>
      </c>
      <c r="F48" s="4">
        <v>2020</v>
      </c>
    </row>
    <row r="49" spans="1:6" ht="13" x14ac:dyDescent="0.15">
      <c r="A49" s="2" t="s">
        <v>20</v>
      </c>
      <c r="B49" s="3" t="s">
        <v>16</v>
      </c>
      <c r="C49" s="4">
        <v>204088</v>
      </c>
      <c r="D49" s="2" t="s">
        <v>32</v>
      </c>
      <c r="E49" s="2" t="s">
        <v>10</v>
      </c>
      <c r="F49" s="4">
        <v>2020</v>
      </c>
    </row>
    <row r="50" spans="1:6" ht="13" x14ac:dyDescent="0.15">
      <c r="A50" s="2" t="s">
        <v>26</v>
      </c>
      <c r="B50" s="3" t="s">
        <v>8</v>
      </c>
      <c r="C50" s="4">
        <v>1775</v>
      </c>
      <c r="D50" s="2" t="s">
        <v>32</v>
      </c>
      <c r="E50" s="2" t="s">
        <v>10</v>
      </c>
      <c r="F50" s="4">
        <v>2020</v>
      </c>
    </row>
    <row r="51" spans="1:6" ht="13" x14ac:dyDescent="0.15">
      <c r="A51" s="2" t="s">
        <v>26</v>
      </c>
      <c r="B51" s="3" t="s">
        <v>12</v>
      </c>
      <c r="C51" s="4">
        <v>10237</v>
      </c>
      <c r="D51" s="2" t="s">
        <v>32</v>
      </c>
      <c r="E51" s="2" t="s">
        <v>10</v>
      </c>
      <c r="F51" s="4">
        <v>2020</v>
      </c>
    </row>
    <row r="52" spans="1:6" ht="13" x14ac:dyDescent="0.15">
      <c r="A52" s="2" t="s">
        <v>26</v>
      </c>
      <c r="B52" s="3" t="s">
        <v>14</v>
      </c>
      <c r="C52" s="4">
        <v>233224</v>
      </c>
      <c r="D52" s="2" t="s">
        <v>32</v>
      </c>
      <c r="E52" s="2" t="s">
        <v>10</v>
      </c>
      <c r="F52" s="4">
        <v>2020</v>
      </c>
    </row>
    <row r="53" spans="1:6" ht="13" x14ac:dyDescent="0.15">
      <c r="A53" s="2" t="s">
        <v>26</v>
      </c>
      <c r="B53" s="3" t="s">
        <v>16</v>
      </c>
      <c r="C53" s="4">
        <v>207896</v>
      </c>
      <c r="D53" s="2" t="s">
        <v>32</v>
      </c>
      <c r="E53" s="2" t="s">
        <v>10</v>
      </c>
      <c r="F53" s="4">
        <v>2020</v>
      </c>
    </row>
    <row r="54" spans="1:6" ht="13" x14ac:dyDescent="0.15">
      <c r="A54" s="2" t="s">
        <v>27</v>
      </c>
      <c r="B54" s="3" t="s">
        <v>8</v>
      </c>
      <c r="C54" s="4">
        <v>2255</v>
      </c>
      <c r="D54" s="2" t="s">
        <v>32</v>
      </c>
      <c r="E54" s="2" t="s">
        <v>10</v>
      </c>
      <c r="F54" s="4">
        <v>2020</v>
      </c>
    </row>
    <row r="55" spans="1:6" ht="13" x14ac:dyDescent="0.15">
      <c r="A55" s="2" t="s">
        <v>27</v>
      </c>
      <c r="B55" s="3" t="s">
        <v>12</v>
      </c>
      <c r="C55" s="4">
        <v>11587</v>
      </c>
      <c r="D55" s="2" t="s">
        <v>32</v>
      </c>
      <c r="E55" s="2" t="s">
        <v>10</v>
      </c>
      <c r="F55" s="4">
        <v>2020</v>
      </c>
    </row>
    <row r="56" spans="1:6" ht="13" x14ac:dyDescent="0.15">
      <c r="A56" s="2" t="s">
        <v>27</v>
      </c>
      <c r="B56" s="3" t="s">
        <v>14</v>
      </c>
      <c r="C56" s="4">
        <v>224130</v>
      </c>
      <c r="D56" s="2" t="s">
        <v>32</v>
      </c>
      <c r="E56" s="2" t="s">
        <v>10</v>
      </c>
      <c r="F56" s="4">
        <v>2020</v>
      </c>
    </row>
    <row r="57" spans="1:6" ht="13" x14ac:dyDescent="0.15">
      <c r="A57" s="2" t="s">
        <v>27</v>
      </c>
      <c r="B57" s="3" t="s">
        <v>16</v>
      </c>
      <c r="C57" s="4">
        <v>173609</v>
      </c>
      <c r="D57" s="2" t="s">
        <v>32</v>
      </c>
      <c r="E57" s="2" t="s">
        <v>10</v>
      </c>
      <c r="F57" s="4">
        <v>2020</v>
      </c>
    </row>
    <row r="58" spans="1:6" ht="13" x14ac:dyDescent="0.15">
      <c r="A58" s="2" t="s">
        <v>28</v>
      </c>
      <c r="B58" s="3" t="s">
        <v>8</v>
      </c>
      <c r="C58" s="4">
        <v>864</v>
      </c>
      <c r="D58" s="2" t="s">
        <v>32</v>
      </c>
      <c r="E58" s="2" t="s">
        <v>10</v>
      </c>
      <c r="F58" s="4">
        <v>2020</v>
      </c>
    </row>
    <row r="59" spans="1:6" ht="13" x14ac:dyDescent="0.15">
      <c r="A59" s="2" t="s">
        <v>28</v>
      </c>
      <c r="B59" s="3" t="s">
        <v>12</v>
      </c>
      <c r="C59" s="4">
        <v>5914</v>
      </c>
      <c r="D59" s="2" t="s">
        <v>32</v>
      </c>
      <c r="E59" s="2" t="s">
        <v>10</v>
      </c>
      <c r="F59" s="4">
        <v>2020</v>
      </c>
    </row>
    <row r="60" spans="1:6" ht="13" x14ac:dyDescent="0.15">
      <c r="A60" s="2" t="s">
        <v>28</v>
      </c>
      <c r="B60" s="3" t="s">
        <v>14</v>
      </c>
      <c r="C60" s="4">
        <v>209224</v>
      </c>
      <c r="D60" s="2" t="s">
        <v>32</v>
      </c>
      <c r="E60" s="2" t="s">
        <v>10</v>
      </c>
      <c r="F60" s="4">
        <v>2020</v>
      </c>
    </row>
    <row r="61" spans="1:6" ht="13" x14ac:dyDescent="0.15">
      <c r="A61" s="2" t="s">
        <v>28</v>
      </c>
      <c r="B61" s="3" t="s">
        <v>16</v>
      </c>
      <c r="C61" s="4">
        <v>192431</v>
      </c>
      <c r="D61" s="2" t="s">
        <v>32</v>
      </c>
      <c r="E61" s="2" t="s">
        <v>10</v>
      </c>
      <c r="F61" s="4">
        <v>2020</v>
      </c>
    </row>
    <row r="62" spans="1:6" ht="13" x14ac:dyDescent="0.15">
      <c r="A62" s="2" t="s">
        <v>29</v>
      </c>
      <c r="B62" s="3" t="s">
        <v>8</v>
      </c>
      <c r="C62" s="4">
        <v>4373</v>
      </c>
      <c r="D62" s="2" t="s">
        <v>32</v>
      </c>
      <c r="E62" s="2" t="s">
        <v>10</v>
      </c>
      <c r="F62" s="4">
        <v>2020</v>
      </c>
    </row>
    <row r="63" spans="1:6" ht="13" x14ac:dyDescent="0.15">
      <c r="A63" s="2" t="s">
        <v>29</v>
      </c>
      <c r="B63" s="3" t="s">
        <v>12</v>
      </c>
      <c r="C63" s="4">
        <v>14960</v>
      </c>
      <c r="D63" s="2" t="s">
        <v>32</v>
      </c>
      <c r="E63" s="2" t="s">
        <v>10</v>
      </c>
      <c r="F63" s="4">
        <v>2020</v>
      </c>
    </row>
    <row r="64" spans="1:6" ht="13" x14ac:dyDescent="0.15">
      <c r="A64" s="2" t="s">
        <v>29</v>
      </c>
      <c r="B64" s="3" t="s">
        <v>14</v>
      </c>
      <c r="C64" s="4">
        <v>172807</v>
      </c>
      <c r="D64" s="2" t="s">
        <v>32</v>
      </c>
      <c r="E64" s="2" t="s">
        <v>10</v>
      </c>
      <c r="F64" s="4">
        <v>2020</v>
      </c>
    </row>
    <row r="65" spans="1:6" ht="13" x14ac:dyDescent="0.15">
      <c r="A65" s="2" t="s">
        <v>29</v>
      </c>
      <c r="B65" s="3" t="s">
        <v>16</v>
      </c>
      <c r="C65" s="4">
        <v>137479</v>
      </c>
      <c r="D65" s="2" t="s">
        <v>32</v>
      </c>
      <c r="E65" s="2" t="s">
        <v>10</v>
      </c>
      <c r="F65" s="4">
        <v>2020</v>
      </c>
    </row>
    <row r="66" spans="1:6" ht="13" x14ac:dyDescent="0.15">
      <c r="A66" s="2" t="s">
        <v>11</v>
      </c>
      <c r="B66" s="3" t="s">
        <v>8</v>
      </c>
      <c r="C66" s="4">
        <v>580</v>
      </c>
      <c r="D66" s="2" t="s">
        <v>32</v>
      </c>
      <c r="E66" s="2" t="s">
        <v>10</v>
      </c>
      <c r="F66" s="4">
        <v>2020</v>
      </c>
    </row>
    <row r="67" spans="1:6" ht="13" x14ac:dyDescent="0.15">
      <c r="A67" s="2" t="s">
        <v>11</v>
      </c>
      <c r="B67" s="3" t="s">
        <v>12</v>
      </c>
      <c r="C67" s="4">
        <v>2127</v>
      </c>
      <c r="D67" s="2" t="s">
        <v>32</v>
      </c>
      <c r="E67" s="2" t="s">
        <v>10</v>
      </c>
      <c r="F67" s="4">
        <v>2020</v>
      </c>
    </row>
    <row r="68" spans="1:6" ht="13" x14ac:dyDescent="0.15">
      <c r="A68" s="2" t="s">
        <v>11</v>
      </c>
      <c r="B68" s="3" t="s">
        <v>14</v>
      </c>
      <c r="C68" s="4">
        <v>347321</v>
      </c>
      <c r="D68" s="2" t="s">
        <v>32</v>
      </c>
      <c r="E68" s="2" t="s">
        <v>10</v>
      </c>
      <c r="F68" s="4">
        <v>2020</v>
      </c>
    </row>
    <row r="69" spans="1:6" ht="13" x14ac:dyDescent="0.15">
      <c r="A69" s="2" t="s">
        <v>11</v>
      </c>
      <c r="B69" s="3" t="s">
        <v>16</v>
      </c>
      <c r="C69" s="4">
        <v>356822</v>
      </c>
      <c r="D69" s="2" t="s">
        <v>32</v>
      </c>
      <c r="E69" s="2" t="s">
        <v>10</v>
      </c>
      <c r="F69" s="4">
        <v>2020</v>
      </c>
    </row>
    <row r="70" spans="1:6" ht="13" x14ac:dyDescent="0.15">
      <c r="A70" s="2" t="s">
        <v>7</v>
      </c>
      <c r="B70" s="3" t="s">
        <v>8</v>
      </c>
      <c r="C70" s="4">
        <v>2928</v>
      </c>
      <c r="D70" s="2" t="s">
        <v>9</v>
      </c>
      <c r="E70" s="2" t="s">
        <v>33</v>
      </c>
      <c r="F70" s="4">
        <v>2020</v>
      </c>
    </row>
    <row r="71" spans="1:6" ht="13" x14ac:dyDescent="0.15">
      <c r="A71" s="2" t="s">
        <v>7</v>
      </c>
      <c r="B71" s="3" t="s">
        <v>12</v>
      </c>
      <c r="C71" s="4">
        <v>9280</v>
      </c>
      <c r="D71" s="2" t="s">
        <v>9</v>
      </c>
      <c r="E71" s="2" t="s">
        <v>33</v>
      </c>
      <c r="F71" s="4">
        <v>2020</v>
      </c>
    </row>
    <row r="72" spans="1:6" ht="13" x14ac:dyDescent="0.15">
      <c r="A72" s="2" t="s">
        <v>7</v>
      </c>
      <c r="B72" s="3" t="s">
        <v>14</v>
      </c>
      <c r="C72" s="4">
        <v>219619</v>
      </c>
      <c r="D72" s="2" t="s">
        <v>9</v>
      </c>
      <c r="E72" s="2" t="s">
        <v>33</v>
      </c>
      <c r="F72" s="4">
        <v>2020</v>
      </c>
    </row>
    <row r="73" spans="1:6" ht="13" x14ac:dyDescent="0.15">
      <c r="A73" s="2" t="s">
        <v>7</v>
      </c>
      <c r="B73" s="3" t="s">
        <v>16</v>
      </c>
      <c r="C73" s="4">
        <v>176675</v>
      </c>
      <c r="D73" s="2" t="s">
        <v>9</v>
      </c>
      <c r="E73" s="2" t="s">
        <v>33</v>
      </c>
      <c r="F73" s="4">
        <v>2020</v>
      </c>
    </row>
    <row r="74" spans="1:6" ht="13" x14ac:dyDescent="0.15">
      <c r="A74" s="2" t="s">
        <v>13</v>
      </c>
      <c r="B74" s="3" t="s">
        <v>8</v>
      </c>
      <c r="C74" s="4">
        <v>1497</v>
      </c>
      <c r="D74" s="2" t="s">
        <v>9</v>
      </c>
      <c r="E74" s="2" t="s">
        <v>33</v>
      </c>
      <c r="F74" s="4">
        <v>2020</v>
      </c>
    </row>
    <row r="75" spans="1:6" ht="13" x14ac:dyDescent="0.15">
      <c r="A75" s="2" t="s">
        <v>13</v>
      </c>
      <c r="B75" s="3" t="s">
        <v>12</v>
      </c>
      <c r="C75" s="4">
        <v>4761</v>
      </c>
      <c r="D75" s="2" t="s">
        <v>9</v>
      </c>
      <c r="E75" s="2" t="s">
        <v>33</v>
      </c>
      <c r="F75" s="4">
        <v>2020</v>
      </c>
    </row>
    <row r="76" spans="1:6" ht="13" x14ac:dyDescent="0.15">
      <c r="A76" s="2" t="s">
        <v>13</v>
      </c>
      <c r="B76" s="3" t="s">
        <v>14</v>
      </c>
      <c r="C76" s="4">
        <v>51644</v>
      </c>
      <c r="D76" s="2" t="s">
        <v>9</v>
      </c>
      <c r="E76" s="2" t="s">
        <v>33</v>
      </c>
      <c r="F76" s="4">
        <v>2020</v>
      </c>
    </row>
    <row r="77" spans="1:6" ht="13" x14ac:dyDescent="0.15">
      <c r="A77" s="2" t="s">
        <v>13</v>
      </c>
      <c r="B77" s="3" t="s">
        <v>16</v>
      </c>
      <c r="C77" s="4">
        <v>50366</v>
      </c>
      <c r="D77" s="2" t="s">
        <v>9</v>
      </c>
      <c r="E77" s="2" t="s">
        <v>33</v>
      </c>
      <c r="F77" s="4">
        <v>2020</v>
      </c>
    </row>
    <row r="78" spans="1:6" ht="13" x14ac:dyDescent="0.15">
      <c r="A78" s="2" t="s">
        <v>15</v>
      </c>
      <c r="B78" s="3" t="s">
        <v>8</v>
      </c>
      <c r="C78" s="4">
        <v>5157</v>
      </c>
      <c r="D78" s="2" t="s">
        <v>9</v>
      </c>
      <c r="E78" s="2" t="s">
        <v>33</v>
      </c>
      <c r="F78" s="4">
        <v>2020</v>
      </c>
    </row>
    <row r="79" spans="1:6" ht="13" x14ac:dyDescent="0.15">
      <c r="A79" s="2" t="s">
        <v>15</v>
      </c>
      <c r="B79" s="3" t="s">
        <v>12</v>
      </c>
      <c r="C79" s="4">
        <v>17769</v>
      </c>
      <c r="D79" s="2" t="s">
        <v>9</v>
      </c>
      <c r="E79" s="2" t="s">
        <v>33</v>
      </c>
      <c r="F79" s="4">
        <v>2020</v>
      </c>
    </row>
    <row r="80" spans="1:6" ht="13" x14ac:dyDescent="0.15">
      <c r="A80" s="2" t="s">
        <v>15</v>
      </c>
      <c r="B80" s="3" t="s">
        <v>14</v>
      </c>
      <c r="C80" s="4">
        <v>204041</v>
      </c>
      <c r="D80" s="2" t="s">
        <v>9</v>
      </c>
      <c r="E80" s="2" t="s">
        <v>33</v>
      </c>
      <c r="F80" s="4">
        <v>2020</v>
      </c>
    </row>
    <row r="81" spans="1:6" ht="13" x14ac:dyDescent="0.15">
      <c r="A81" s="2" t="s">
        <v>15</v>
      </c>
      <c r="B81" s="3" t="s">
        <v>16</v>
      </c>
      <c r="C81" s="4">
        <v>158129</v>
      </c>
      <c r="D81" s="2" t="s">
        <v>9</v>
      </c>
      <c r="E81" s="2" t="s">
        <v>33</v>
      </c>
      <c r="F81" s="4">
        <v>2020</v>
      </c>
    </row>
    <row r="82" spans="1:6" ht="13" x14ac:dyDescent="0.15">
      <c r="A82" s="2" t="s">
        <v>17</v>
      </c>
      <c r="B82" s="3" t="s">
        <v>8</v>
      </c>
      <c r="C82" s="4">
        <v>2044</v>
      </c>
      <c r="D82" s="2" t="s">
        <v>9</v>
      </c>
      <c r="E82" s="2" t="s">
        <v>33</v>
      </c>
      <c r="F82" s="4">
        <v>2020</v>
      </c>
    </row>
    <row r="83" spans="1:6" ht="13" x14ac:dyDescent="0.15">
      <c r="A83" s="2" t="s">
        <v>17</v>
      </c>
      <c r="B83" s="3" t="s">
        <v>12</v>
      </c>
      <c r="C83" s="4">
        <v>7392</v>
      </c>
      <c r="D83" s="2" t="s">
        <v>9</v>
      </c>
      <c r="E83" s="2" t="s">
        <v>33</v>
      </c>
      <c r="F83" s="4">
        <v>2020</v>
      </c>
    </row>
    <row r="84" spans="1:6" ht="13" x14ac:dyDescent="0.15">
      <c r="A84" s="2" t="s">
        <v>17</v>
      </c>
      <c r="B84" s="3" t="s">
        <v>14</v>
      </c>
      <c r="C84" s="4">
        <v>103424</v>
      </c>
      <c r="D84" s="2" t="s">
        <v>9</v>
      </c>
      <c r="E84" s="2" t="s">
        <v>33</v>
      </c>
      <c r="F84" s="4">
        <v>2020</v>
      </c>
    </row>
    <row r="85" spans="1:6" ht="13" x14ac:dyDescent="0.15">
      <c r="A85" s="2" t="s">
        <v>17</v>
      </c>
      <c r="B85" s="3" t="s">
        <v>16</v>
      </c>
      <c r="C85" s="4">
        <v>82213</v>
      </c>
      <c r="D85" s="2" t="s">
        <v>9</v>
      </c>
      <c r="E85" s="2" t="s">
        <v>33</v>
      </c>
      <c r="F85" s="4">
        <v>2020</v>
      </c>
    </row>
    <row r="86" spans="1:6" ht="13" x14ac:dyDescent="0.15">
      <c r="A86" s="2" t="s">
        <v>18</v>
      </c>
      <c r="B86" s="3" t="s">
        <v>8</v>
      </c>
      <c r="C86" s="4">
        <v>3008</v>
      </c>
      <c r="D86" s="2" t="s">
        <v>9</v>
      </c>
      <c r="E86" s="2" t="s">
        <v>33</v>
      </c>
      <c r="F86" s="4">
        <v>2020</v>
      </c>
    </row>
    <row r="87" spans="1:6" ht="13" x14ac:dyDescent="0.15">
      <c r="A87" s="2" t="s">
        <v>18</v>
      </c>
      <c r="B87" s="3" t="s">
        <v>12</v>
      </c>
      <c r="C87" s="4">
        <v>12536</v>
      </c>
      <c r="D87" s="2" t="s">
        <v>9</v>
      </c>
      <c r="E87" s="2" t="s">
        <v>33</v>
      </c>
      <c r="F87" s="4">
        <v>2020</v>
      </c>
    </row>
    <row r="88" spans="1:6" ht="13" x14ac:dyDescent="0.15">
      <c r="A88" s="2" t="s">
        <v>18</v>
      </c>
      <c r="B88" s="3" t="s">
        <v>14</v>
      </c>
      <c r="C88" s="4">
        <v>293239</v>
      </c>
      <c r="D88" s="2" t="s">
        <v>9</v>
      </c>
      <c r="E88" s="2" t="s">
        <v>33</v>
      </c>
      <c r="F88" s="4">
        <v>2020</v>
      </c>
    </row>
    <row r="89" spans="1:6" ht="13" x14ac:dyDescent="0.15">
      <c r="A89" s="2" t="s">
        <v>18</v>
      </c>
      <c r="B89" s="3" t="s">
        <v>16</v>
      </c>
      <c r="C89" s="4">
        <v>232788</v>
      </c>
      <c r="D89" s="2" t="s">
        <v>9</v>
      </c>
      <c r="E89" s="2" t="s">
        <v>33</v>
      </c>
      <c r="F89" s="4">
        <v>2020</v>
      </c>
    </row>
    <row r="90" spans="1:6" ht="13" x14ac:dyDescent="0.15">
      <c r="A90" s="2" t="s">
        <v>19</v>
      </c>
      <c r="B90" s="3" t="s">
        <v>8</v>
      </c>
      <c r="C90" s="4">
        <v>5857</v>
      </c>
      <c r="D90" s="2" t="s">
        <v>9</v>
      </c>
      <c r="E90" s="2" t="s">
        <v>33</v>
      </c>
      <c r="F90" s="4">
        <v>2020</v>
      </c>
    </row>
    <row r="91" spans="1:6" ht="13" x14ac:dyDescent="0.15">
      <c r="A91" s="2" t="s">
        <v>19</v>
      </c>
      <c r="B91" s="3" t="s">
        <v>12</v>
      </c>
      <c r="C91" s="4">
        <v>20458</v>
      </c>
      <c r="D91" s="2" t="s">
        <v>9</v>
      </c>
      <c r="E91" s="2" t="s">
        <v>33</v>
      </c>
      <c r="F91" s="4">
        <v>2020</v>
      </c>
    </row>
    <row r="92" spans="1:6" ht="13" x14ac:dyDescent="0.15">
      <c r="A92" s="2" t="s">
        <v>19</v>
      </c>
      <c r="B92" s="3" t="s">
        <v>14</v>
      </c>
      <c r="C92" s="4">
        <v>326071</v>
      </c>
      <c r="D92" s="2" t="s">
        <v>9</v>
      </c>
      <c r="E92" s="2" t="s">
        <v>33</v>
      </c>
      <c r="F92" s="4">
        <v>2020</v>
      </c>
    </row>
    <row r="93" spans="1:6" ht="13" x14ac:dyDescent="0.15">
      <c r="A93" s="2" t="s">
        <v>19</v>
      </c>
      <c r="B93" s="3" t="s">
        <v>16</v>
      </c>
      <c r="C93" s="4">
        <v>263667</v>
      </c>
      <c r="D93" s="2" t="s">
        <v>9</v>
      </c>
      <c r="E93" s="2" t="s">
        <v>33</v>
      </c>
      <c r="F93" s="4">
        <v>2020</v>
      </c>
    </row>
    <row r="94" spans="1:6" ht="13" x14ac:dyDescent="0.15">
      <c r="A94" s="2" t="s">
        <v>21</v>
      </c>
      <c r="B94" s="3" t="s">
        <v>8</v>
      </c>
      <c r="C94" s="4">
        <v>5282</v>
      </c>
      <c r="D94" s="2" t="s">
        <v>9</v>
      </c>
      <c r="E94" s="2" t="s">
        <v>33</v>
      </c>
      <c r="F94" s="4">
        <v>2020</v>
      </c>
    </row>
    <row r="95" spans="1:6" ht="13" x14ac:dyDescent="0.15">
      <c r="A95" s="2" t="s">
        <v>21</v>
      </c>
      <c r="B95" s="3" t="s">
        <v>12</v>
      </c>
      <c r="C95" s="4">
        <v>18882</v>
      </c>
      <c r="D95" s="2" t="s">
        <v>9</v>
      </c>
      <c r="E95" s="2" t="s">
        <v>33</v>
      </c>
      <c r="F95" s="4">
        <v>2020</v>
      </c>
    </row>
    <row r="96" spans="1:6" ht="13" x14ac:dyDescent="0.15">
      <c r="A96" s="2" t="s">
        <v>21</v>
      </c>
      <c r="B96" s="3" t="s">
        <v>14</v>
      </c>
      <c r="C96" s="4">
        <v>176019</v>
      </c>
      <c r="D96" s="2" t="s">
        <v>9</v>
      </c>
      <c r="E96" s="2" t="s">
        <v>33</v>
      </c>
      <c r="F96" s="4">
        <v>2020</v>
      </c>
    </row>
    <row r="97" spans="1:6" ht="13" x14ac:dyDescent="0.15">
      <c r="A97" s="2" t="s">
        <v>21</v>
      </c>
      <c r="B97" s="3" t="s">
        <v>16</v>
      </c>
      <c r="C97" s="4">
        <v>153386</v>
      </c>
      <c r="D97" s="2" t="s">
        <v>9</v>
      </c>
      <c r="E97" s="2" t="s">
        <v>33</v>
      </c>
      <c r="F97" s="4">
        <v>2020</v>
      </c>
    </row>
    <row r="98" spans="1:6" ht="13" x14ac:dyDescent="0.15">
      <c r="A98" s="2" t="s">
        <v>22</v>
      </c>
      <c r="B98" s="3" t="s">
        <v>8</v>
      </c>
      <c r="C98" s="4">
        <v>5583</v>
      </c>
      <c r="D98" s="2" t="s">
        <v>9</v>
      </c>
      <c r="E98" s="2" t="s">
        <v>33</v>
      </c>
      <c r="F98" s="4">
        <v>2020</v>
      </c>
    </row>
    <row r="99" spans="1:6" ht="13" x14ac:dyDescent="0.15">
      <c r="A99" s="2" t="s">
        <v>22</v>
      </c>
      <c r="B99" s="3" t="s">
        <v>12</v>
      </c>
      <c r="C99" s="4">
        <v>18481</v>
      </c>
      <c r="D99" s="2" t="s">
        <v>9</v>
      </c>
      <c r="E99" s="2" t="s">
        <v>33</v>
      </c>
      <c r="F99" s="4">
        <v>2020</v>
      </c>
    </row>
    <row r="100" spans="1:6" ht="13" x14ac:dyDescent="0.15">
      <c r="A100" s="2" t="s">
        <v>22</v>
      </c>
      <c r="B100" s="3" t="s">
        <v>14</v>
      </c>
      <c r="C100" s="4">
        <v>372776</v>
      </c>
      <c r="D100" s="2" t="s">
        <v>9</v>
      </c>
      <c r="E100" s="2" t="s">
        <v>33</v>
      </c>
      <c r="F100" s="4">
        <v>2020</v>
      </c>
    </row>
    <row r="101" spans="1:6" ht="13" x14ac:dyDescent="0.15">
      <c r="A101" s="2" t="s">
        <v>22</v>
      </c>
      <c r="B101" s="3" t="s">
        <v>16</v>
      </c>
      <c r="C101" s="4">
        <v>336908</v>
      </c>
      <c r="D101" s="2" t="s">
        <v>9</v>
      </c>
      <c r="E101" s="2" t="s">
        <v>33</v>
      </c>
      <c r="F101" s="4">
        <v>2020</v>
      </c>
    </row>
    <row r="102" spans="1:6" ht="13" x14ac:dyDescent="0.15">
      <c r="A102" s="2" t="s">
        <v>23</v>
      </c>
      <c r="B102" s="3" t="s">
        <v>8</v>
      </c>
      <c r="C102" s="4">
        <v>7054</v>
      </c>
      <c r="D102" s="2" t="s">
        <v>31</v>
      </c>
      <c r="E102" s="2" t="s">
        <v>33</v>
      </c>
      <c r="F102" s="4">
        <v>2020</v>
      </c>
    </row>
    <row r="103" spans="1:6" ht="13" x14ac:dyDescent="0.15">
      <c r="A103" s="2" t="s">
        <v>23</v>
      </c>
      <c r="B103" s="3" t="s">
        <v>12</v>
      </c>
      <c r="C103" s="4">
        <v>21454</v>
      </c>
      <c r="D103" s="2" t="s">
        <v>31</v>
      </c>
      <c r="E103" s="2" t="s">
        <v>33</v>
      </c>
      <c r="F103" s="4">
        <v>2020</v>
      </c>
    </row>
    <row r="104" spans="1:6" ht="13" x14ac:dyDescent="0.15">
      <c r="A104" s="2" t="s">
        <v>23</v>
      </c>
      <c r="B104" s="3" t="s">
        <v>14</v>
      </c>
      <c r="C104" s="4">
        <v>326340</v>
      </c>
      <c r="D104" s="2" t="s">
        <v>31</v>
      </c>
      <c r="E104" s="2" t="s">
        <v>33</v>
      </c>
      <c r="F104" s="4">
        <v>2020</v>
      </c>
    </row>
    <row r="105" spans="1:6" ht="13" x14ac:dyDescent="0.15">
      <c r="A105" s="2" t="s">
        <v>23</v>
      </c>
      <c r="B105" s="3" t="s">
        <v>16</v>
      </c>
      <c r="C105" s="4">
        <v>277071</v>
      </c>
      <c r="D105" s="2" t="s">
        <v>31</v>
      </c>
      <c r="E105" s="2" t="s">
        <v>33</v>
      </c>
      <c r="F105" s="4">
        <v>2020</v>
      </c>
    </row>
    <row r="106" spans="1:6" ht="13" x14ac:dyDescent="0.15">
      <c r="A106" s="2" t="s">
        <v>24</v>
      </c>
      <c r="B106" s="3" t="s">
        <v>8</v>
      </c>
      <c r="C106" s="4">
        <v>4250</v>
      </c>
      <c r="D106" s="2" t="s">
        <v>31</v>
      </c>
      <c r="E106" s="2" t="s">
        <v>33</v>
      </c>
      <c r="F106" s="4">
        <v>2020</v>
      </c>
    </row>
    <row r="107" spans="1:6" ht="13" x14ac:dyDescent="0.15">
      <c r="A107" s="2" t="s">
        <v>24</v>
      </c>
      <c r="B107" s="3" t="s">
        <v>12</v>
      </c>
      <c r="C107" s="4">
        <v>19654</v>
      </c>
      <c r="D107" s="2" t="s">
        <v>31</v>
      </c>
      <c r="E107" s="2" t="s">
        <v>33</v>
      </c>
      <c r="F107" s="4">
        <v>2020</v>
      </c>
    </row>
    <row r="108" spans="1:6" ht="13" x14ac:dyDescent="0.15">
      <c r="A108" s="2" t="s">
        <v>24</v>
      </c>
      <c r="B108" s="3" t="s">
        <v>14</v>
      </c>
      <c r="C108" s="4">
        <v>287170</v>
      </c>
      <c r="D108" s="2" t="s">
        <v>31</v>
      </c>
      <c r="E108" s="2" t="s">
        <v>33</v>
      </c>
      <c r="F108" s="4">
        <v>2020</v>
      </c>
    </row>
    <row r="109" spans="1:6" ht="13" x14ac:dyDescent="0.15">
      <c r="A109" s="2" t="s">
        <v>24</v>
      </c>
      <c r="B109" s="3" t="s">
        <v>16</v>
      </c>
      <c r="C109" s="4">
        <v>237001</v>
      </c>
      <c r="D109" s="2" t="s">
        <v>31</v>
      </c>
      <c r="E109" s="2" t="s">
        <v>33</v>
      </c>
      <c r="F109" s="4">
        <v>2020</v>
      </c>
    </row>
    <row r="110" spans="1:6" ht="13" x14ac:dyDescent="0.15">
      <c r="A110" s="2" t="s">
        <v>25</v>
      </c>
      <c r="B110" s="3" t="s">
        <v>8</v>
      </c>
      <c r="C110" s="4">
        <v>3546</v>
      </c>
      <c r="D110" s="2" t="s">
        <v>31</v>
      </c>
      <c r="E110" s="2" t="s">
        <v>33</v>
      </c>
      <c r="F110" s="4">
        <v>2020</v>
      </c>
    </row>
    <row r="111" spans="1:6" ht="13" x14ac:dyDescent="0.15">
      <c r="A111" s="2" t="s">
        <v>25</v>
      </c>
      <c r="B111" s="3" t="s">
        <v>12</v>
      </c>
      <c r="C111" s="4">
        <v>15029</v>
      </c>
      <c r="D111" s="2" t="s">
        <v>31</v>
      </c>
      <c r="E111" s="2" t="s">
        <v>33</v>
      </c>
      <c r="F111" s="4">
        <v>2020</v>
      </c>
    </row>
    <row r="112" spans="1:6" ht="13" x14ac:dyDescent="0.15">
      <c r="A112" s="2" t="s">
        <v>25</v>
      </c>
      <c r="B112" s="3" t="s">
        <v>14</v>
      </c>
      <c r="C112" s="4">
        <v>258423</v>
      </c>
      <c r="D112" s="2" t="s">
        <v>31</v>
      </c>
      <c r="E112" s="2" t="s">
        <v>33</v>
      </c>
      <c r="F112" s="4">
        <v>2020</v>
      </c>
    </row>
    <row r="113" spans="1:6" ht="13" x14ac:dyDescent="0.15">
      <c r="A113" s="2" t="s">
        <v>25</v>
      </c>
      <c r="B113" s="3" t="s">
        <v>16</v>
      </c>
      <c r="C113" s="4">
        <v>234264</v>
      </c>
      <c r="D113" s="2" t="s">
        <v>31</v>
      </c>
      <c r="E113" s="2" t="s">
        <v>33</v>
      </c>
      <c r="F113" s="4">
        <v>2020</v>
      </c>
    </row>
    <row r="114" spans="1:6" ht="13" x14ac:dyDescent="0.15">
      <c r="A114" s="2" t="s">
        <v>20</v>
      </c>
      <c r="B114" s="3" t="s">
        <v>8</v>
      </c>
      <c r="C114" s="4">
        <v>4971</v>
      </c>
      <c r="D114" s="2" t="s">
        <v>32</v>
      </c>
      <c r="E114" s="2" t="s">
        <v>33</v>
      </c>
      <c r="F114" s="4">
        <v>2020</v>
      </c>
    </row>
    <row r="115" spans="1:6" ht="13" x14ac:dyDescent="0.15">
      <c r="A115" s="2" t="s">
        <v>20</v>
      </c>
      <c r="B115" s="3" t="s">
        <v>12</v>
      </c>
      <c r="C115" s="4">
        <v>17645</v>
      </c>
      <c r="D115" s="2" t="s">
        <v>32</v>
      </c>
      <c r="E115" s="2" t="s">
        <v>33</v>
      </c>
      <c r="F115" s="4">
        <v>2020</v>
      </c>
    </row>
    <row r="116" spans="1:6" ht="13" x14ac:dyDescent="0.15">
      <c r="A116" s="2" t="s">
        <v>20</v>
      </c>
      <c r="B116" s="3" t="s">
        <v>14</v>
      </c>
      <c r="C116" s="4">
        <v>266270</v>
      </c>
      <c r="D116" s="2" t="s">
        <v>32</v>
      </c>
      <c r="E116" s="2" t="s">
        <v>33</v>
      </c>
      <c r="F116" s="4">
        <v>2020</v>
      </c>
    </row>
    <row r="117" spans="1:6" ht="13" x14ac:dyDescent="0.15">
      <c r="A117" s="2" t="s">
        <v>20</v>
      </c>
      <c r="B117" s="3" t="s">
        <v>16</v>
      </c>
      <c r="C117" s="4">
        <v>207083</v>
      </c>
      <c r="D117" s="2" t="s">
        <v>32</v>
      </c>
      <c r="E117" s="2" t="s">
        <v>33</v>
      </c>
      <c r="F117" s="4">
        <v>2020</v>
      </c>
    </row>
    <row r="118" spans="1:6" ht="13" x14ac:dyDescent="0.15">
      <c r="A118" s="2" t="s">
        <v>26</v>
      </c>
      <c r="B118" s="3" t="s">
        <v>8</v>
      </c>
      <c r="C118" s="4">
        <v>1770</v>
      </c>
      <c r="D118" s="2" t="s">
        <v>32</v>
      </c>
      <c r="E118" s="2" t="s">
        <v>33</v>
      </c>
      <c r="F118" s="4">
        <v>2020</v>
      </c>
    </row>
    <row r="119" spans="1:6" ht="13" x14ac:dyDescent="0.15">
      <c r="A119" s="2" t="s">
        <v>26</v>
      </c>
      <c r="B119" s="3" t="s">
        <v>12</v>
      </c>
      <c r="C119" s="4">
        <v>9611</v>
      </c>
      <c r="D119" s="2" t="s">
        <v>32</v>
      </c>
      <c r="E119" s="2" t="s">
        <v>33</v>
      </c>
      <c r="F119" s="4">
        <v>2020</v>
      </c>
    </row>
    <row r="120" spans="1:6" ht="13" x14ac:dyDescent="0.15">
      <c r="A120" s="2" t="s">
        <v>26</v>
      </c>
      <c r="B120" s="3" t="s">
        <v>14</v>
      </c>
      <c r="C120" s="4">
        <v>225941</v>
      </c>
      <c r="D120" s="2" t="s">
        <v>32</v>
      </c>
      <c r="E120" s="2" t="s">
        <v>33</v>
      </c>
      <c r="F120" s="4">
        <v>2020</v>
      </c>
    </row>
    <row r="121" spans="1:6" ht="13" x14ac:dyDescent="0.15">
      <c r="A121" s="2" t="s">
        <v>26</v>
      </c>
      <c r="B121" s="3" t="s">
        <v>16</v>
      </c>
      <c r="C121" s="4">
        <v>210695</v>
      </c>
      <c r="D121" s="2" t="s">
        <v>32</v>
      </c>
      <c r="E121" s="2" t="s">
        <v>33</v>
      </c>
      <c r="F121" s="4">
        <v>2020</v>
      </c>
    </row>
    <row r="122" spans="1:6" ht="13" x14ac:dyDescent="0.15">
      <c r="A122" s="2" t="s">
        <v>27</v>
      </c>
      <c r="B122" s="3" t="s">
        <v>8</v>
      </c>
      <c r="C122" s="4">
        <v>2172</v>
      </c>
      <c r="D122" s="2" t="s">
        <v>32</v>
      </c>
      <c r="E122" s="2" t="s">
        <v>33</v>
      </c>
      <c r="F122" s="4">
        <v>2020</v>
      </c>
    </row>
    <row r="123" spans="1:6" ht="13" x14ac:dyDescent="0.15">
      <c r="A123" s="2" t="s">
        <v>27</v>
      </c>
      <c r="B123" s="3" t="s">
        <v>12</v>
      </c>
      <c r="C123" s="4">
        <v>10958</v>
      </c>
      <c r="D123" s="2" t="s">
        <v>32</v>
      </c>
      <c r="E123" s="2" t="s">
        <v>33</v>
      </c>
      <c r="F123" s="4">
        <v>2020</v>
      </c>
    </row>
    <row r="124" spans="1:6" ht="13" x14ac:dyDescent="0.15">
      <c r="A124" s="2" t="s">
        <v>27</v>
      </c>
      <c r="B124" s="3" t="s">
        <v>14</v>
      </c>
      <c r="C124" s="4">
        <v>218680</v>
      </c>
      <c r="D124" s="2" t="s">
        <v>32</v>
      </c>
      <c r="E124" s="2" t="s">
        <v>33</v>
      </c>
      <c r="F124" s="4">
        <v>2020</v>
      </c>
    </row>
    <row r="125" spans="1:6" ht="13" x14ac:dyDescent="0.15">
      <c r="A125" s="2" t="s">
        <v>27</v>
      </c>
      <c r="B125" s="3" t="s">
        <v>16</v>
      </c>
      <c r="C125" s="4">
        <v>177367</v>
      </c>
      <c r="D125" s="2" t="s">
        <v>32</v>
      </c>
      <c r="E125" s="2" t="s">
        <v>33</v>
      </c>
      <c r="F125" s="4">
        <v>2020</v>
      </c>
    </row>
    <row r="126" spans="1:6" ht="13" x14ac:dyDescent="0.15">
      <c r="A126" s="2" t="s">
        <v>28</v>
      </c>
      <c r="B126" s="3" t="s">
        <v>8</v>
      </c>
      <c r="C126" s="4">
        <v>996</v>
      </c>
      <c r="D126" s="2" t="s">
        <v>32</v>
      </c>
      <c r="E126" s="2" t="s">
        <v>33</v>
      </c>
      <c r="F126" s="4">
        <v>2020</v>
      </c>
    </row>
    <row r="127" spans="1:6" ht="13" x14ac:dyDescent="0.15">
      <c r="A127" s="2" t="s">
        <v>28</v>
      </c>
      <c r="B127" s="3" t="s">
        <v>12</v>
      </c>
      <c r="C127" s="4">
        <v>10143</v>
      </c>
      <c r="D127" s="2" t="s">
        <v>32</v>
      </c>
      <c r="E127" s="2" t="s">
        <v>33</v>
      </c>
      <c r="F127" s="4">
        <v>2020</v>
      </c>
    </row>
    <row r="128" spans="1:6" ht="13" x14ac:dyDescent="0.15">
      <c r="A128" s="2" t="s">
        <v>28</v>
      </c>
      <c r="B128" s="3" t="s">
        <v>14</v>
      </c>
      <c r="C128" s="4">
        <v>204955</v>
      </c>
      <c r="D128" s="2" t="s">
        <v>32</v>
      </c>
      <c r="E128" s="2" t="s">
        <v>33</v>
      </c>
      <c r="F128" s="4">
        <v>2020</v>
      </c>
    </row>
    <row r="129" spans="1:6" ht="13" x14ac:dyDescent="0.15">
      <c r="A129" s="2" t="s">
        <v>28</v>
      </c>
      <c r="B129" s="3" t="s">
        <v>16</v>
      </c>
      <c r="C129" s="4">
        <v>195624</v>
      </c>
      <c r="D129" s="2" t="s">
        <v>32</v>
      </c>
      <c r="E129" s="2" t="s">
        <v>33</v>
      </c>
      <c r="F129" s="4">
        <v>2020</v>
      </c>
    </row>
    <row r="130" spans="1:6" ht="13" x14ac:dyDescent="0.15">
      <c r="A130" s="2" t="s">
        <v>11</v>
      </c>
      <c r="B130" s="3" t="s">
        <v>8</v>
      </c>
      <c r="C130" s="4">
        <v>559</v>
      </c>
      <c r="D130" s="2" t="s">
        <v>32</v>
      </c>
      <c r="E130" s="2" t="s">
        <v>33</v>
      </c>
      <c r="F130" s="4">
        <v>2020</v>
      </c>
    </row>
    <row r="131" spans="1:6" ht="13" x14ac:dyDescent="0.15">
      <c r="A131" s="2" t="s">
        <v>11</v>
      </c>
      <c r="B131" s="3" t="s">
        <v>12</v>
      </c>
      <c r="C131" s="4">
        <v>2013</v>
      </c>
      <c r="D131" s="2" t="s">
        <v>32</v>
      </c>
      <c r="E131" s="2" t="s">
        <v>33</v>
      </c>
      <c r="F131" s="4">
        <v>2020</v>
      </c>
    </row>
    <row r="132" spans="1:6" ht="13" x14ac:dyDescent="0.15">
      <c r="A132" s="2" t="s">
        <v>11</v>
      </c>
      <c r="B132" s="3" t="s">
        <v>14</v>
      </c>
      <c r="C132" s="4">
        <v>326467</v>
      </c>
      <c r="D132" s="2" t="s">
        <v>32</v>
      </c>
      <c r="E132" s="2" t="s">
        <v>33</v>
      </c>
      <c r="F132" s="4">
        <v>2020</v>
      </c>
    </row>
    <row r="133" spans="1:6" ht="13" x14ac:dyDescent="0.15">
      <c r="A133" s="2" t="s">
        <v>11</v>
      </c>
      <c r="B133" s="3" t="s">
        <v>16</v>
      </c>
      <c r="C133" s="4">
        <v>355781</v>
      </c>
      <c r="D133" s="2" t="s">
        <v>32</v>
      </c>
      <c r="E133" s="2" t="s">
        <v>33</v>
      </c>
      <c r="F133" s="4">
        <v>2020</v>
      </c>
    </row>
    <row r="134" spans="1:6" ht="13" x14ac:dyDescent="0.15">
      <c r="A134" s="2" t="s">
        <v>7</v>
      </c>
      <c r="B134" s="3" t="s">
        <v>8</v>
      </c>
      <c r="C134" s="4">
        <v>2525</v>
      </c>
      <c r="D134" s="2" t="s">
        <v>9</v>
      </c>
      <c r="E134" s="2" t="s">
        <v>34</v>
      </c>
      <c r="F134" s="4">
        <v>2020</v>
      </c>
    </row>
    <row r="135" spans="1:6" ht="13" x14ac:dyDescent="0.15">
      <c r="A135" s="2" t="s">
        <v>7</v>
      </c>
      <c r="B135" s="3" t="s">
        <v>12</v>
      </c>
      <c r="C135" s="4">
        <v>8820</v>
      </c>
      <c r="D135" s="2" t="s">
        <v>9</v>
      </c>
      <c r="E135" s="2" t="s">
        <v>34</v>
      </c>
      <c r="F135" s="4">
        <v>2020</v>
      </c>
    </row>
    <row r="136" spans="1:6" ht="13" x14ac:dyDescent="0.15">
      <c r="A136" s="2" t="s">
        <v>7</v>
      </c>
      <c r="B136" s="3" t="s">
        <v>14</v>
      </c>
      <c r="C136" s="4">
        <v>209781</v>
      </c>
      <c r="D136" s="2" t="s">
        <v>9</v>
      </c>
      <c r="E136" s="2" t="s">
        <v>34</v>
      </c>
      <c r="F136" s="4">
        <v>2020</v>
      </c>
    </row>
    <row r="137" spans="1:6" ht="13" x14ac:dyDescent="0.15">
      <c r="A137" s="2" t="s">
        <v>7</v>
      </c>
      <c r="B137" s="3" t="s">
        <v>16</v>
      </c>
      <c r="C137" s="4">
        <v>179263</v>
      </c>
      <c r="D137" s="2" t="s">
        <v>9</v>
      </c>
      <c r="E137" s="2" t="s">
        <v>34</v>
      </c>
      <c r="F137" s="4">
        <v>2020</v>
      </c>
    </row>
    <row r="138" spans="1:6" ht="13" x14ac:dyDescent="0.15">
      <c r="A138" s="2" t="s">
        <v>13</v>
      </c>
      <c r="B138" s="3" t="s">
        <v>8</v>
      </c>
      <c r="C138" s="4">
        <v>1388</v>
      </c>
      <c r="D138" s="2" t="s">
        <v>9</v>
      </c>
      <c r="E138" s="2" t="s">
        <v>34</v>
      </c>
      <c r="F138" s="4">
        <v>2020</v>
      </c>
    </row>
    <row r="139" spans="1:6" ht="13" x14ac:dyDescent="0.15">
      <c r="A139" s="2" t="s">
        <v>13</v>
      </c>
      <c r="B139" s="3" t="s">
        <v>12</v>
      </c>
      <c r="C139" s="4">
        <v>4579</v>
      </c>
      <c r="D139" s="2" t="s">
        <v>9</v>
      </c>
      <c r="E139" s="2" t="s">
        <v>34</v>
      </c>
      <c r="F139" s="4">
        <v>2020</v>
      </c>
    </row>
    <row r="140" spans="1:6" ht="13" x14ac:dyDescent="0.15">
      <c r="A140" s="2" t="s">
        <v>13</v>
      </c>
      <c r="B140" s="3" t="s">
        <v>14</v>
      </c>
      <c r="C140" s="4">
        <v>49437</v>
      </c>
      <c r="D140" s="2" t="s">
        <v>9</v>
      </c>
      <c r="E140" s="2" t="s">
        <v>34</v>
      </c>
      <c r="F140" s="4">
        <v>2020</v>
      </c>
    </row>
    <row r="141" spans="1:6" ht="13" x14ac:dyDescent="0.15">
      <c r="A141" s="2" t="s">
        <v>13</v>
      </c>
      <c r="B141" s="3" t="s">
        <v>16</v>
      </c>
      <c r="C141" s="4">
        <v>50702</v>
      </c>
      <c r="D141" s="2" t="s">
        <v>9</v>
      </c>
      <c r="E141" s="2" t="s">
        <v>34</v>
      </c>
      <c r="F141" s="4">
        <v>2020</v>
      </c>
    </row>
    <row r="142" spans="1:6" ht="13" x14ac:dyDescent="0.15">
      <c r="A142" s="2" t="s">
        <v>15</v>
      </c>
      <c r="B142" s="3" t="s">
        <v>8</v>
      </c>
      <c r="C142" s="4">
        <v>4808</v>
      </c>
      <c r="D142" s="2" t="s">
        <v>9</v>
      </c>
      <c r="E142" s="2" t="s">
        <v>34</v>
      </c>
      <c r="F142" s="4">
        <v>2020</v>
      </c>
    </row>
    <row r="143" spans="1:6" ht="13" x14ac:dyDescent="0.15">
      <c r="A143" s="2" t="s">
        <v>15</v>
      </c>
      <c r="B143" s="3" t="s">
        <v>12</v>
      </c>
      <c r="C143" s="4">
        <v>16715</v>
      </c>
      <c r="D143" s="2" t="s">
        <v>9</v>
      </c>
      <c r="E143" s="2" t="s">
        <v>34</v>
      </c>
      <c r="F143" s="4">
        <v>2020</v>
      </c>
    </row>
    <row r="144" spans="1:6" ht="13" x14ac:dyDescent="0.15">
      <c r="A144" s="2" t="s">
        <v>15</v>
      </c>
      <c r="B144" s="3" t="s">
        <v>14</v>
      </c>
      <c r="C144" s="4">
        <v>196612</v>
      </c>
      <c r="D144" s="2" t="s">
        <v>9</v>
      </c>
      <c r="E144" s="2" t="s">
        <v>34</v>
      </c>
      <c r="F144" s="4">
        <v>2020</v>
      </c>
    </row>
    <row r="145" spans="1:6" ht="13" x14ac:dyDescent="0.15">
      <c r="A145" s="2" t="s">
        <v>15</v>
      </c>
      <c r="B145" s="3" t="s">
        <v>16</v>
      </c>
      <c r="C145" s="4">
        <v>160358</v>
      </c>
      <c r="D145" s="2" t="s">
        <v>9</v>
      </c>
      <c r="E145" s="2" t="s">
        <v>34</v>
      </c>
      <c r="F145" s="4">
        <v>2020</v>
      </c>
    </row>
    <row r="146" spans="1:6" ht="13" x14ac:dyDescent="0.15">
      <c r="A146" s="2" t="s">
        <v>17</v>
      </c>
      <c r="B146" s="3" t="s">
        <v>8</v>
      </c>
      <c r="C146" s="4">
        <v>1789</v>
      </c>
      <c r="D146" s="2" t="s">
        <v>9</v>
      </c>
      <c r="E146" s="2" t="s">
        <v>34</v>
      </c>
      <c r="F146" s="4">
        <v>2020</v>
      </c>
    </row>
    <row r="147" spans="1:6" ht="13" x14ac:dyDescent="0.15">
      <c r="A147" s="2" t="s">
        <v>17</v>
      </c>
      <c r="B147" s="3" t="s">
        <v>12</v>
      </c>
      <c r="C147" s="4">
        <v>6958</v>
      </c>
      <c r="D147" s="2" t="s">
        <v>9</v>
      </c>
      <c r="E147" s="2" t="s">
        <v>34</v>
      </c>
      <c r="F147" s="4">
        <v>2020</v>
      </c>
    </row>
    <row r="148" spans="1:6" ht="13" x14ac:dyDescent="0.15">
      <c r="A148" s="2" t="s">
        <v>17</v>
      </c>
      <c r="B148" s="3" t="s">
        <v>14</v>
      </c>
      <c r="C148" s="4">
        <v>99057</v>
      </c>
      <c r="D148" s="2" t="s">
        <v>9</v>
      </c>
      <c r="E148" s="2" t="s">
        <v>34</v>
      </c>
      <c r="F148" s="4">
        <v>2020</v>
      </c>
    </row>
    <row r="149" spans="1:6" ht="13" x14ac:dyDescent="0.15">
      <c r="A149" s="2" t="s">
        <v>17</v>
      </c>
      <c r="B149" s="3" t="s">
        <v>16</v>
      </c>
      <c r="C149" s="4">
        <v>83603</v>
      </c>
      <c r="D149" s="2" t="s">
        <v>9</v>
      </c>
      <c r="E149" s="2" t="s">
        <v>34</v>
      </c>
      <c r="F149" s="4">
        <v>2020</v>
      </c>
    </row>
    <row r="150" spans="1:6" ht="13" x14ac:dyDescent="0.15">
      <c r="A150" s="2" t="s">
        <v>18</v>
      </c>
      <c r="B150" s="3" t="s">
        <v>8</v>
      </c>
      <c r="C150" s="4">
        <v>2696</v>
      </c>
      <c r="D150" s="2" t="s">
        <v>9</v>
      </c>
      <c r="E150" s="2" t="s">
        <v>34</v>
      </c>
      <c r="F150" s="4">
        <v>2020</v>
      </c>
    </row>
    <row r="151" spans="1:6" ht="13" x14ac:dyDescent="0.15">
      <c r="A151" s="2" t="s">
        <v>18</v>
      </c>
      <c r="B151" s="3" t="s">
        <v>12</v>
      </c>
      <c r="C151" s="4">
        <v>11309</v>
      </c>
      <c r="D151" s="2" t="s">
        <v>9</v>
      </c>
      <c r="E151" s="2" t="s">
        <v>34</v>
      </c>
      <c r="F151" s="4">
        <v>2020</v>
      </c>
    </row>
    <row r="152" spans="1:6" ht="13" x14ac:dyDescent="0.15">
      <c r="A152" s="2" t="s">
        <v>18</v>
      </c>
      <c r="B152" s="3" t="s">
        <v>14</v>
      </c>
      <c r="C152" s="4">
        <v>279116</v>
      </c>
      <c r="D152" s="2" t="s">
        <v>9</v>
      </c>
      <c r="E152" s="2" t="s">
        <v>34</v>
      </c>
      <c r="F152" s="4">
        <v>2020</v>
      </c>
    </row>
    <row r="153" spans="1:6" ht="13" x14ac:dyDescent="0.15">
      <c r="A153" s="2" t="s">
        <v>18</v>
      </c>
      <c r="B153" s="3" t="s">
        <v>16</v>
      </c>
      <c r="C153" s="4">
        <v>235635</v>
      </c>
      <c r="D153" s="2" t="s">
        <v>9</v>
      </c>
      <c r="E153" s="2" t="s">
        <v>34</v>
      </c>
      <c r="F153" s="4">
        <v>2020</v>
      </c>
    </row>
    <row r="154" spans="1:6" ht="13" x14ac:dyDescent="0.15">
      <c r="A154" s="2" t="s">
        <v>19</v>
      </c>
      <c r="B154" s="3" t="s">
        <v>8</v>
      </c>
      <c r="C154" s="4">
        <v>5005</v>
      </c>
      <c r="D154" s="2" t="s">
        <v>9</v>
      </c>
      <c r="E154" s="2" t="s">
        <v>34</v>
      </c>
      <c r="F154" s="4">
        <v>2020</v>
      </c>
    </row>
    <row r="155" spans="1:6" ht="13" x14ac:dyDescent="0.15">
      <c r="A155" s="2" t="s">
        <v>19</v>
      </c>
      <c r="B155" s="3" t="s">
        <v>12</v>
      </c>
      <c r="C155" s="4">
        <v>19327</v>
      </c>
      <c r="D155" s="2" t="s">
        <v>9</v>
      </c>
      <c r="E155" s="2" t="s">
        <v>34</v>
      </c>
      <c r="F155" s="4">
        <v>2020</v>
      </c>
    </row>
    <row r="156" spans="1:6" ht="13" x14ac:dyDescent="0.15">
      <c r="A156" s="2" t="s">
        <v>19</v>
      </c>
      <c r="B156" s="3" t="s">
        <v>14</v>
      </c>
      <c r="C156" s="4">
        <v>312673</v>
      </c>
      <c r="D156" s="2" t="s">
        <v>9</v>
      </c>
      <c r="E156" s="2" t="s">
        <v>34</v>
      </c>
      <c r="F156" s="4">
        <v>2020</v>
      </c>
    </row>
    <row r="157" spans="1:6" ht="13" x14ac:dyDescent="0.15">
      <c r="A157" s="2" t="s">
        <v>19</v>
      </c>
      <c r="B157" s="3" t="s">
        <v>16</v>
      </c>
      <c r="C157" s="4">
        <v>267610</v>
      </c>
      <c r="D157" s="2" t="s">
        <v>9</v>
      </c>
      <c r="E157" s="2" t="s">
        <v>34</v>
      </c>
      <c r="F157" s="4">
        <v>2020</v>
      </c>
    </row>
    <row r="158" spans="1:6" ht="13" x14ac:dyDescent="0.15">
      <c r="A158" s="2" t="s">
        <v>21</v>
      </c>
      <c r="B158" s="3" t="s">
        <v>8</v>
      </c>
      <c r="C158" s="4">
        <v>4977</v>
      </c>
      <c r="D158" s="2" t="s">
        <v>9</v>
      </c>
      <c r="E158" s="2" t="s">
        <v>34</v>
      </c>
      <c r="F158" s="4">
        <v>2020</v>
      </c>
    </row>
    <row r="159" spans="1:6" ht="13" x14ac:dyDescent="0.15">
      <c r="A159" s="2" t="s">
        <v>21</v>
      </c>
      <c r="B159" s="3" t="s">
        <v>12</v>
      </c>
      <c r="C159" s="4">
        <v>18305</v>
      </c>
      <c r="D159" s="2" t="s">
        <v>9</v>
      </c>
      <c r="E159" s="2" t="s">
        <v>34</v>
      </c>
      <c r="F159" s="4">
        <v>2020</v>
      </c>
    </row>
    <row r="160" spans="1:6" ht="13" x14ac:dyDescent="0.15">
      <c r="A160" s="2" t="s">
        <v>21</v>
      </c>
      <c r="B160" s="3" t="s">
        <v>14</v>
      </c>
      <c r="C160" s="4">
        <v>172066</v>
      </c>
      <c r="D160" s="2" t="s">
        <v>9</v>
      </c>
      <c r="E160" s="2" t="s">
        <v>34</v>
      </c>
      <c r="F160" s="4">
        <v>2020</v>
      </c>
    </row>
    <row r="161" spans="1:6" ht="13" x14ac:dyDescent="0.15">
      <c r="A161" s="2" t="s">
        <v>21</v>
      </c>
      <c r="B161" s="3" t="s">
        <v>16</v>
      </c>
      <c r="C161" s="4">
        <v>154608</v>
      </c>
      <c r="D161" s="2" t="s">
        <v>9</v>
      </c>
      <c r="E161" s="2" t="s">
        <v>34</v>
      </c>
      <c r="F161" s="4">
        <v>2020</v>
      </c>
    </row>
    <row r="162" spans="1:6" ht="13" x14ac:dyDescent="0.15">
      <c r="A162" s="2" t="s">
        <v>22</v>
      </c>
      <c r="B162" s="3" t="s">
        <v>8</v>
      </c>
      <c r="C162" s="4">
        <v>5295</v>
      </c>
      <c r="D162" s="2" t="s">
        <v>9</v>
      </c>
      <c r="E162" s="2" t="s">
        <v>34</v>
      </c>
      <c r="F162" s="4">
        <v>2020</v>
      </c>
    </row>
    <row r="163" spans="1:6" ht="13" x14ac:dyDescent="0.15">
      <c r="A163" s="2" t="s">
        <v>22</v>
      </c>
      <c r="B163" s="3" t="s">
        <v>12</v>
      </c>
      <c r="C163" s="4">
        <v>18245</v>
      </c>
      <c r="D163" s="2" t="s">
        <v>9</v>
      </c>
      <c r="E163" s="2" t="s">
        <v>34</v>
      </c>
      <c r="F163" s="4">
        <v>2020</v>
      </c>
    </row>
    <row r="164" spans="1:6" ht="13" x14ac:dyDescent="0.15">
      <c r="A164" s="2" t="s">
        <v>22</v>
      </c>
      <c r="B164" s="3" t="s">
        <v>14</v>
      </c>
      <c r="C164" s="4">
        <v>360610</v>
      </c>
      <c r="D164" s="2" t="s">
        <v>9</v>
      </c>
      <c r="E164" s="2" t="s">
        <v>34</v>
      </c>
      <c r="F164" s="4">
        <v>2020</v>
      </c>
    </row>
    <row r="165" spans="1:6" ht="13" x14ac:dyDescent="0.15">
      <c r="A165" s="2" t="s">
        <v>22</v>
      </c>
      <c r="B165" s="3" t="s">
        <v>16</v>
      </c>
      <c r="C165" s="4">
        <v>341244</v>
      </c>
      <c r="D165" s="2" t="s">
        <v>9</v>
      </c>
      <c r="E165" s="2" t="s">
        <v>34</v>
      </c>
      <c r="F165" s="4">
        <v>2020</v>
      </c>
    </row>
    <row r="166" spans="1:6" ht="13" x14ac:dyDescent="0.15">
      <c r="A166" s="2" t="s">
        <v>23</v>
      </c>
      <c r="B166" s="3" t="s">
        <v>8</v>
      </c>
      <c r="C166" s="4">
        <v>6047</v>
      </c>
      <c r="D166" s="2" t="s">
        <v>31</v>
      </c>
      <c r="E166" s="2" t="s">
        <v>34</v>
      </c>
      <c r="F166" s="4">
        <v>2020</v>
      </c>
    </row>
    <row r="167" spans="1:6" ht="13" x14ac:dyDescent="0.15">
      <c r="A167" s="2" t="s">
        <v>23</v>
      </c>
      <c r="B167" s="3" t="s">
        <v>12</v>
      </c>
      <c r="C167" s="4">
        <v>20239</v>
      </c>
      <c r="D167" s="2" t="s">
        <v>31</v>
      </c>
      <c r="E167" s="2" t="s">
        <v>34</v>
      </c>
      <c r="F167" s="4">
        <v>2020</v>
      </c>
    </row>
    <row r="168" spans="1:6" ht="13" x14ac:dyDescent="0.15">
      <c r="A168" s="2" t="s">
        <v>23</v>
      </c>
      <c r="B168" s="3" t="s">
        <v>14</v>
      </c>
      <c r="C168" s="4">
        <v>312630</v>
      </c>
      <c r="D168" s="2" t="s">
        <v>31</v>
      </c>
      <c r="E168" s="2" t="s">
        <v>34</v>
      </c>
      <c r="F168" s="4">
        <v>2020</v>
      </c>
    </row>
    <row r="169" spans="1:6" ht="13" x14ac:dyDescent="0.15">
      <c r="A169" s="2" t="s">
        <v>23</v>
      </c>
      <c r="B169" s="3" t="s">
        <v>16</v>
      </c>
      <c r="C169" s="4">
        <v>278795</v>
      </c>
      <c r="D169" s="2" t="s">
        <v>31</v>
      </c>
      <c r="E169" s="2" t="s">
        <v>34</v>
      </c>
      <c r="F169" s="4">
        <v>2020</v>
      </c>
    </row>
    <row r="170" spans="1:6" ht="13" x14ac:dyDescent="0.15">
      <c r="A170" s="2" t="s">
        <v>24</v>
      </c>
      <c r="B170" s="3" t="s">
        <v>8</v>
      </c>
      <c r="C170" s="4">
        <v>3510</v>
      </c>
      <c r="D170" s="2" t="s">
        <v>31</v>
      </c>
      <c r="E170" s="2" t="s">
        <v>34</v>
      </c>
      <c r="F170" s="4">
        <v>2020</v>
      </c>
    </row>
    <row r="171" spans="1:6" ht="13" x14ac:dyDescent="0.15">
      <c r="A171" s="2" t="s">
        <v>24</v>
      </c>
      <c r="B171" s="3" t="s">
        <v>12</v>
      </c>
      <c r="C171" s="4">
        <v>17628</v>
      </c>
      <c r="D171" s="2" t="s">
        <v>31</v>
      </c>
      <c r="E171" s="2" t="s">
        <v>34</v>
      </c>
      <c r="F171" s="4">
        <v>2020</v>
      </c>
    </row>
    <row r="172" spans="1:6" ht="13" x14ac:dyDescent="0.15">
      <c r="A172" s="2" t="s">
        <v>24</v>
      </c>
      <c r="B172" s="3" t="s">
        <v>14</v>
      </c>
      <c r="C172" s="4">
        <v>274540</v>
      </c>
      <c r="D172" s="2" t="s">
        <v>31</v>
      </c>
      <c r="E172" s="2" t="s">
        <v>34</v>
      </c>
      <c r="F172" s="4">
        <v>2020</v>
      </c>
    </row>
    <row r="173" spans="1:6" ht="13" x14ac:dyDescent="0.15">
      <c r="A173" s="2" t="s">
        <v>24</v>
      </c>
      <c r="B173" s="3" t="s">
        <v>16</v>
      </c>
      <c r="C173" s="4">
        <v>238941</v>
      </c>
      <c r="D173" s="2" t="s">
        <v>31</v>
      </c>
      <c r="E173" s="2" t="s">
        <v>34</v>
      </c>
      <c r="F173" s="4">
        <v>2020</v>
      </c>
    </row>
    <row r="174" spans="1:6" ht="13" x14ac:dyDescent="0.15">
      <c r="A174" s="2" t="s">
        <v>25</v>
      </c>
      <c r="B174" s="3" t="s">
        <v>8</v>
      </c>
      <c r="C174" s="4">
        <v>3128</v>
      </c>
      <c r="D174" s="2" t="s">
        <v>31</v>
      </c>
      <c r="E174" s="2" t="s">
        <v>34</v>
      </c>
      <c r="F174" s="4">
        <v>2020</v>
      </c>
    </row>
    <row r="175" spans="1:6" ht="13" x14ac:dyDescent="0.15">
      <c r="A175" s="2" t="s">
        <v>25</v>
      </c>
      <c r="B175" s="3" t="s">
        <v>12</v>
      </c>
      <c r="C175" s="4">
        <v>13622</v>
      </c>
      <c r="D175" s="2" t="s">
        <v>31</v>
      </c>
      <c r="E175" s="2" t="s">
        <v>34</v>
      </c>
      <c r="F175" s="4">
        <v>2020</v>
      </c>
    </row>
    <row r="176" spans="1:6" ht="13" x14ac:dyDescent="0.15">
      <c r="A176" s="2" t="s">
        <v>25</v>
      </c>
      <c r="B176" s="3" t="s">
        <v>14</v>
      </c>
      <c r="C176" s="4">
        <v>245401</v>
      </c>
      <c r="D176" s="2" t="s">
        <v>31</v>
      </c>
      <c r="E176" s="2" t="s">
        <v>34</v>
      </c>
      <c r="F176" s="4">
        <v>2020</v>
      </c>
    </row>
    <row r="177" spans="1:6" ht="13" x14ac:dyDescent="0.15">
      <c r="A177" s="2" t="s">
        <v>25</v>
      </c>
      <c r="B177" s="3" t="s">
        <v>16</v>
      </c>
      <c r="C177" s="4">
        <v>236187</v>
      </c>
      <c r="D177" s="2" t="s">
        <v>31</v>
      </c>
      <c r="E177" s="2" t="s">
        <v>34</v>
      </c>
      <c r="F177" s="4">
        <v>2020</v>
      </c>
    </row>
    <row r="178" spans="1:6" ht="13" x14ac:dyDescent="0.15">
      <c r="A178" s="2" t="s">
        <v>20</v>
      </c>
      <c r="B178" s="3" t="s">
        <v>8</v>
      </c>
      <c r="C178" s="4">
        <v>4485</v>
      </c>
      <c r="D178" s="2" t="s">
        <v>32</v>
      </c>
      <c r="E178" s="2" t="s">
        <v>34</v>
      </c>
      <c r="F178" s="4">
        <v>2020</v>
      </c>
    </row>
    <row r="179" spans="1:6" ht="13" x14ac:dyDescent="0.15">
      <c r="A179" s="2" t="s">
        <v>20</v>
      </c>
      <c r="B179" s="3" t="s">
        <v>12</v>
      </c>
      <c r="C179" s="4">
        <v>16991</v>
      </c>
      <c r="D179" s="2" t="s">
        <v>32</v>
      </c>
      <c r="E179" s="2" t="s">
        <v>34</v>
      </c>
      <c r="F179" s="4">
        <v>2020</v>
      </c>
    </row>
    <row r="180" spans="1:6" ht="13" x14ac:dyDescent="0.15">
      <c r="A180" s="2" t="s">
        <v>20</v>
      </c>
      <c r="B180" s="3" t="s">
        <v>14</v>
      </c>
      <c r="C180" s="4">
        <v>255390</v>
      </c>
      <c r="D180" s="2" t="s">
        <v>32</v>
      </c>
      <c r="E180" s="2" t="s">
        <v>34</v>
      </c>
      <c r="F180" s="4">
        <v>2020</v>
      </c>
    </row>
    <row r="181" spans="1:6" ht="13" x14ac:dyDescent="0.15">
      <c r="A181" s="2" t="s">
        <v>20</v>
      </c>
      <c r="B181" s="3" t="s">
        <v>16</v>
      </c>
      <c r="C181" s="4">
        <v>209316</v>
      </c>
      <c r="D181" s="2" t="s">
        <v>32</v>
      </c>
      <c r="E181" s="2" t="s">
        <v>34</v>
      </c>
      <c r="F181" s="4">
        <v>2020</v>
      </c>
    </row>
    <row r="182" spans="1:6" ht="13" x14ac:dyDescent="0.15">
      <c r="A182" s="2" t="s">
        <v>26</v>
      </c>
      <c r="B182" s="3" t="s">
        <v>8</v>
      </c>
      <c r="C182" s="4">
        <v>1633</v>
      </c>
      <c r="D182" s="2" t="s">
        <v>32</v>
      </c>
      <c r="E182" s="2" t="s">
        <v>34</v>
      </c>
      <c r="F182" s="4">
        <v>2020</v>
      </c>
    </row>
    <row r="183" spans="1:6" ht="13" x14ac:dyDescent="0.15">
      <c r="A183" s="2" t="s">
        <v>26</v>
      </c>
      <c r="B183" s="3" t="s">
        <v>12</v>
      </c>
      <c r="C183" s="4">
        <v>8420</v>
      </c>
      <c r="D183" s="2" t="s">
        <v>32</v>
      </c>
      <c r="E183" s="2" t="s">
        <v>34</v>
      </c>
      <c r="F183" s="4">
        <v>2020</v>
      </c>
    </row>
    <row r="184" spans="1:6" ht="13" x14ac:dyDescent="0.15">
      <c r="A184" s="2" t="s">
        <v>26</v>
      </c>
      <c r="B184" s="3" t="s">
        <v>14</v>
      </c>
      <c r="C184" s="4">
        <v>213240</v>
      </c>
      <c r="D184" s="2" t="s">
        <v>32</v>
      </c>
      <c r="E184" s="2" t="s">
        <v>34</v>
      </c>
      <c r="F184" s="4">
        <v>2020</v>
      </c>
    </row>
    <row r="185" spans="1:6" ht="13" x14ac:dyDescent="0.15">
      <c r="A185" s="2" t="s">
        <v>26</v>
      </c>
      <c r="B185" s="3" t="s">
        <v>16</v>
      </c>
      <c r="C185" s="4">
        <v>213822</v>
      </c>
      <c r="D185" s="2" t="s">
        <v>32</v>
      </c>
      <c r="E185" s="2" t="s">
        <v>34</v>
      </c>
      <c r="F185" s="4">
        <v>2020</v>
      </c>
    </row>
    <row r="186" spans="1:6" ht="13" x14ac:dyDescent="0.15">
      <c r="A186" s="2" t="s">
        <v>27</v>
      </c>
      <c r="B186" s="3" t="s">
        <v>8</v>
      </c>
      <c r="C186" s="4">
        <v>1820</v>
      </c>
      <c r="D186" s="2" t="s">
        <v>32</v>
      </c>
      <c r="E186" s="2" t="s">
        <v>34</v>
      </c>
      <c r="F186" s="4">
        <v>2020</v>
      </c>
    </row>
    <row r="187" spans="1:6" ht="13" x14ac:dyDescent="0.15">
      <c r="A187" s="2" t="s">
        <v>27</v>
      </c>
      <c r="B187" s="3" t="s">
        <v>12</v>
      </c>
      <c r="C187" s="4">
        <v>9741</v>
      </c>
      <c r="D187" s="2" t="s">
        <v>32</v>
      </c>
      <c r="E187" s="2" t="s">
        <v>34</v>
      </c>
      <c r="F187" s="4">
        <v>2020</v>
      </c>
    </row>
    <row r="188" spans="1:6" ht="13" x14ac:dyDescent="0.15">
      <c r="A188" s="2" t="s">
        <v>27</v>
      </c>
      <c r="B188" s="3" t="s">
        <v>14</v>
      </c>
      <c r="C188" s="4">
        <v>208606</v>
      </c>
      <c r="D188" s="2" t="s">
        <v>32</v>
      </c>
      <c r="E188" s="2" t="s">
        <v>34</v>
      </c>
      <c r="F188" s="4">
        <v>2020</v>
      </c>
    </row>
    <row r="189" spans="1:6" ht="13" x14ac:dyDescent="0.15">
      <c r="A189" s="2" t="s">
        <v>27</v>
      </c>
      <c r="B189" s="3" t="s">
        <v>16</v>
      </c>
      <c r="C189" s="4">
        <v>179741</v>
      </c>
      <c r="D189" s="2" t="s">
        <v>32</v>
      </c>
      <c r="E189" s="2" t="s">
        <v>34</v>
      </c>
      <c r="F189" s="4">
        <v>2020</v>
      </c>
    </row>
    <row r="190" spans="1:6" ht="13" x14ac:dyDescent="0.15">
      <c r="A190" s="2" t="s">
        <v>28</v>
      </c>
      <c r="B190" s="3" t="s">
        <v>8</v>
      </c>
      <c r="C190" s="4">
        <v>989</v>
      </c>
      <c r="D190" s="2" t="s">
        <v>32</v>
      </c>
      <c r="E190" s="2" t="s">
        <v>34</v>
      </c>
      <c r="F190" s="4">
        <v>2020</v>
      </c>
    </row>
    <row r="191" spans="1:6" ht="13" x14ac:dyDescent="0.15">
      <c r="A191" s="2" t="s">
        <v>28</v>
      </c>
      <c r="B191" s="3" t="s">
        <v>12</v>
      </c>
      <c r="C191" s="4">
        <v>5238</v>
      </c>
      <c r="D191" s="2" t="s">
        <v>32</v>
      </c>
      <c r="E191" s="2" t="s">
        <v>34</v>
      </c>
      <c r="F191" s="4">
        <v>2020</v>
      </c>
    </row>
    <row r="192" spans="1:6" ht="13" x14ac:dyDescent="0.15">
      <c r="A192" s="2" t="s">
        <v>28</v>
      </c>
      <c r="B192" s="3" t="s">
        <v>14</v>
      </c>
      <c r="C192" s="4">
        <v>192692</v>
      </c>
      <c r="D192" s="2" t="s">
        <v>32</v>
      </c>
      <c r="E192" s="2" t="s">
        <v>34</v>
      </c>
      <c r="F192" s="4">
        <v>2020</v>
      </c>
    </row>
    <row r="193" spans="1:6" ht="13" x14ac:dyDescent="0.15">
      <c r="A193" s="2" t="s">
        <v>28</v>
      </c>
      <c r="B193" s="3" t="s">
        <v>16</v>
      </c>
      <c r="C193" s="4">
        <v>196249</v>
      </c>
      <c r="D193" s="2" t="s">
        <v>32</v>
      </c>
      <c r="E193" s="2" t="s">
        <v>34</v>
      </c>
      <c r="F193" s="4">
        <v>2020</v>
      </c>
    </row>
    <row r="194" spans="1:6" ht="13" x14ac:dyDescent="0.15">
      <c r="A194" s="2" t="s">
        <v>11</v>
      </c>
      <c r="B194" s="3" t="s">
        <v>8</v>
      </c>
      <c r="C194" s="4">
        <v>498</v>
      </c>
      <c r="D194" s="2" t="s">
        <v>32</v>
      </c>
      <c r="E194" s="2" t="s">
        <v>34</v>
      </c>
      <c r="F194" s="4">
        <v>2020</v>
      </c>
    </row>
    <row r="195" spans="1:6" ht="13" x14ac:dyDescent="0.15">
      <c r="A195" s="2" t="s">
        <v>11</v>
      </c>
      <c r="B195" s="3" t="s">
        <v>12</v>
      </c>
      <c r="C195" s="4">
        <v>1966</v>
      </c>
      <c r="D195" s="2" t="s">
        <v>32</v>
      </c>
      <c r="E195" s="2" t="s">
        <v>34</v>
      </c>
      <c r="F195" s="4">
        <v>2020</v>
      </c>
    </row>
    <row r="196" spans="1:6" ht="13" x14ac:dyDescent="0.15">
      <c r="A196" s="2" t="s">
        <v>11</v>
      </c>
      <c r="B196" s="3" t="s">
        <v>14</v>
      </c>
      <c r="C196" s="4">
        <v>296621</v>
      </c>
      <c r="D196" s="2" t="s">
        <v>32</v>
      </c>
      <c r="E196" s="2" t="s">
        <v>34</v>
      </c>
      <c r="F196" s="4">
        <v>2020</v>
      </c>
    </row>
    <row r="197" spans="1:6" ht="13" x14ac:dyDescent="0.15">
      <c r="A197" s="2" t="s">
        <v>11</v>
      </c>
      <c r="B197" s="3" t="s">
        <v>16</v>
      </c>
      <c r="C197" s="4">
        <v>356016</v>
      </c>
      <c r="D197" s="2" t="s">
        <v>32</v>
      </c>
      <c r="E197" s="2" t="s">
        <v>34</v>
      </c>
      <c r="F197" s="4">
        <v>2020</v>
      </c>
    </row>
    <row r="198" spans="1:6" ht="13" x14ac:dyDescent="0.15">
      <c r="A198" s="2" t="s">
        <v>7</v>
      </c>
      <c r="B198" s="3" t="s">
        <v>8</v>
      </c>
      <c r="C198" s="4">
        <v>2178</v>
      </c>
      <c r="D198" s="2" t="s">
        <v>9</v>
      </c>
      <c r="E198" s="2" t="s">
        <v>35</v>
      </c>
      <c r="F198" s="4">
        <v>2020</v>
      </c>
    </row>
    <row r="199" spans="1:6" ht="13" x14ac:dyDescent="0.15">
      <c r="A199" s="2" t="s">
        <v>7</v>
      </c>
      <c r="B199" s="3" t="s">
        <v>12</v>
      </c>
      <c r="C199" s="4">
        <v>8282</v>
      </c>
      <c r="D199" s="2" t="s">
        <v>9</v>
      </c>
      <c r="E199" s="2" t="s">
        <v>35</v>
      </c>
      <c r="F199" s="4">
        <v>2020</v>
      </c>
    </row>
    <row r="200" spans="1:6" ht="13" x14ac:dyDescent="0.15">
      <c r="A200" s="2" t="s">
        <v>7</v>
      </c>
      <c r="B200" s="3" t="s">
        <v>14</v>
      </c>
      <c r="C200" s="4">
        <v>199235</v>
      </c>
      <c r="D200" s="2" t="s">
        <v>9</v>
      </c>
      <c r="E200" s="2" t="s">
        <v>35</v>
      </c>
      <c r="F200" s="4">
        <v>2020</v>
      </c>
    </row>
    <row r="201" spans="1:6" ht="13" x14ac:dyDescent="0.15">
      <c r="A201" s="2" t="s">
        <v>7</v>
      </c>
      <c r="B201" s="3" t="s">
        <v>16</v>
      </c>
      <c r="C201" s="4">
        <v>173033</v>
      </c>
      <c r="D201" s="2" t="s">
        <v>9</v>
      </c>
      <c r="E201" s="2" t="s">
        <v>35</v>
      </c>
      <c r="F201" s="4">
        <v>2020</v>
      </c>
    </row>
    <row r="202" spans="1:6" ht="13" x14ac:dyDescent="0.15">
      <c r="A202" s="2" t="s">
        <v>13</v>
      </c>
      <c r="B202" s="3" t="s">
        <v>8</v>
      </c>
      <c r="C202" s="4">
        <v>1273</v>
      </c>
      <c r="D202" s="2" t="s">
        <v>9</v>
      </c>
      <c r="E202" s="2" t="s">
        <v>35</v>
      </c>
      <c r="F202" s="4">
        <v>2020</v>
      </c>
    </row>
    <row r="203" spans="1:6" ht="13" x14ac:dyDescent="0.15">
      <c r="A203" s="2" t="s">
        <v>13</v>
      </c>
      <c r="B203" s="3" t="s">
        <v>12</v>
      </c>
      <c r="C203" s="4">
        <v>4511</v>
      </c>
      <c r="D203" s="2" t="s">
        <v>9</v>
      </c>
      <c r="E203" s="2" t="s">
        <v>35</v>
      </c>
      <c r="F203" s="4">
        <v>2020</v>
      </c>
    </row>
    <row r="204" spans="1:6" ht="13" x14ac:dyDescent="0.15">
      <c r="A204" s="2" t="s">
        <v>13</v>
      </c>
      <c r="B204" s="3" t="s">
        <v>14</v>
      </c>
      <c r="C204" s="4">
        <v>47444</v>
      </c>
      <c r="D204" s="2" t="s">
        <v>9</v>
      </c>
      <c r="E204" s="2" t="s">
        <v>35</v>
      </c>
      <c r="F204" s="4">
        <v>2020</v>
      </c>
    </row>
    <row r="205" spans="1:6" ht="13" x14ac:dyDescent="0.15">
      <c r="A205" s="2" t="s">
        <v>13</v>
      </c>
      <c r="B205" s="3" t="s">
        <v>16</v>
      </c>
      <c r="C205" s="4">
        <v>48590</v>
      </c>
      <c r="D205" s="2" t="s">
        <v>9</v>
      </c>
      <c r="E205" s="2" t="s">
        <v>35</v>
      </c>
      <c r="F205" s="4">
        <v>2020</v>
      </c>
    </row>
    <row r="206" spans="1:6" ht="13" x14ac:dyDescent="0.15">
      <c r="A206" s="2" t="s">
        <v>15</v>
      </c>
      <c r="B206" s="3" t="s">
        <v>8</v>
      </c>
      <c r="C206" s="4">
        <v>5050</v>
      </c>
      <c r="D206" s="2" t="s">
        <v>9</v>
      </c>
      <c r="E206" s="2" t="s">
        <v>35</v>
      </c>
      <c r="F206" s="4">
        <v>2020</v>
      </c>
    </row>
    <row r="207" spans="1:6" ht="13" x14ac:dyDescent="0.15">
      <c r="A207" s="2" t="s">
        <v>15</v>
      </c>
      <c r="B207" s="3" t="s">
        <v>12</v>
      </c>
      <c r="C207" s="4">
        <v>16656</v>
      </c>
      <c r="D207" s="2" t="s">
        <v>9</v>
      </c>
      <c r="E207" s="2" t="s">
        <v>35</v>
      </c>
      <c r="F207" s="4">
        <v>2020</v>
      </c>
    </row>
    <row r="208" spans="1:6" ht="13" x14ac:dyDescent="0.15">
      <c r="A208" s="2" t="s">
        <v>15</v>
      </c>
      <c r="B208" s="3" t="s">
        <v>14</v>
      </c>
      <c r="C208" s="4">
        <v>196413</v>
      </c>
      <c r="D208" s="2" t="s">
        <v>9</v>
      </c>
      <c r="E208" s="2" t="s">
        <v>35</v>
      </c>
      <c r="F208" s="4">
        <v>2020</v>
      </c>
    </row>
    <row r="209" spans="1:6" ht="13" x14ac:dyDescent="0.15">
      <c r="A209" s="2" t="s">
        <v>15</v>
      </c>
      <c r="B209" s="3" t="s">
        <v>16</v>
      </c>
      <c r="C209" s="4">
        <v>156863</v>
      </c>
      <c r="D209" s="2" t="s">
        <v>9</v>
      </c>
      <c r="E209" s="2" t="s">
        <v>35</v>
      </c>
      <c r="F209" s="4">
        <v>2020</v>
      </c>
    </row>
    <row r="210" spans="1:6" ht="13" x14ac:dyDescent="0.15">
      <c r="A210" s="2" t="s">
        <v>17</v>
      </c>
      <c r="B210" s="3" t="s">
        <v>8</v>
      </c>
      <c r="C210" s="4">
        <v>1924</v>
      </c>
      <c r="D210" s="2" t="s">
        <v>9</v>
      </c>
      <c r="E210" s="2" t="s">
        <v>35</v>
      </c>
      <c r="F210" s="4">
        <v>2020</v>
      </c>
    </row>
    <row r="211" spans="1:6" ht="13" x14ac:dyDescent="0.15">
      <c r="A211" s="2" t="s">
        <v>17</v>
      </c>
      <c r="B211" s="3" t="s">
        <v>12</v>
      </c>
      <c r="C211" s="4">
        <v>6962</v>
      </c>
      <c r="D211" s="2" t="s">
        <v>9</v>
      </c>
      <c r="E211" s="2" t="s">
        <v>35</v>
      </c>
      <c r="F211" s="4">
        <v>2020</v>
      </c>
    </row>
    <row r="212" spans="1:6" ht="13" x14ac:dyDescent="0.15">
      <c r="A212" s="2" t="s">
        <v>17</v>
      </c>
      <c r="B212" s="3" t="s">
        <v>14</v>
      </c>
      <c r="C212" s="4">
        <v>98456</v>
      </c>
      <c r="D212" s="2" t="s">
        <v>9</v>
      </c>
      <c r="E212" s="2" t="s">
        <v>35</v>
      </c>
      <c r="F212" s="4">
        <v>2020</v>
      </c>
    </row>
    <row r="213" spans="1:6" ht="13" x14ac:dyDescent="0.15">
      <c r="A213" s="2" t="s">
        <v>17</v>
      </c>
      <c r="B213" s="3" t="s">
        <v>16</v>
      </c>
      <c r="C213" s="4">
        <v>81893</v>
      </c>
      <c r="D213" s="2" t="s">
        <v>9</v>
      </c>
      <c r="E213" s="2" t="s">
        <v>35</v>
      </c>
      <c r="F213" s="4">
        <v>2020</v>
      </c>
    </row>
    <row r="214" spans="1:6" ht="13" x14ac:dyDescent="0.15">
      <c r="A214" s="2" t="s">
        <v>18</v>
      </c>
      <c r="B214" s="3" t="s">
        <v>8</v>
      </c>
      <c r="C214" s="4">
        <v>3100</v>
      </c>
      <c r="D214" s="2" t="s">
        <v>9</v>
      </c>
      <c r="E214" s="2" t="s">
        <v>35</v>
      </c>
      <c r="F214" s="4">
        <v>2020</v>
      </c>
    </row>
    <row r="215" spans="1:6" ht="13" x14ac:dyDescent="0.15">
      <c r="A215" s="2" t="s">
        <v>18</v>
      </c>
      <c r="B215" s="3" t="s">
        <v>12</v>
      </c>
      <c r="C215" s="4">
        <v>11467</v>
      </c>
      <c r="D215" s="2" t="s">
        <v>9</v>
      </c>
      <c r="E215" s="2" t="s">
        <v>35</v>
      </c>
      <c r="F215" s="4">
        <v>2020</v>
      </c>
    </row>
    <row r="216" spans="1:6" ht="13" x14ac:dyDescent="0.15">
      <c r="A216" s="2" t="s">
        <v>18</v>
      </c>
      <c r="B216" s="3" t="s">
        <v>14</v>
      </c>
      <c r="C216" s="4">
        <v>274298</v>
      </c>
      <c r="D216" s="2" t="s">
        <v>9</v>
      </c>
      <c r="E216" s="2" t="s">
        <v>35</v>
      </c>
      <c r="F216" s="4">
        <v>2020</v>
      </c>
    </row>
    <row r="217" spans="1:6" ht="13" x14ac:dyDescent="0.15">
      <c r="A217" s="2" t="s">
        <v>18</v>
      </c>
      <c r="B217" s="3" t="s">
        <v>16</v>
      </c>
      <c r="C217" s="4">
        <v>230708</v>
      </c>
      <c r="D217" s="2" t="s">
        <v>9</v>
      </c>
      <c r="E217" s="2" t="s">
        <v>35</v>
      </c>
      <c r="F217" s="4">
        <v>2020</v>
      </c>
    </row>
    <row r="218" spans="1:6" ht="13" x14ac:dyDescent="0.15">
      <c r="A218" s="2" t="s">
        <v>19</v>
      </c>
      <c r="B218" s="3" t="s">
        <v>8</v>
      </c>
      <c r="C218" s="4">
        <v>4698</v>
      </c>
      <c r="D218" s="2" t="s">
        <v>9</v>
      </c>
      <c r="E218" s="2" t="s">
        <v>35</v>
      </c>
      <c r="F218" s="4">
        <v>2020</v>
      </c>
    </row>
    <row r="219" spans="1:6" ht="13" x14ac:dyDescent="0.15">
      <c r="A219" s="2" t="s">
        <v>19</v>
      </c>
      <c r="B219" s="3" t="s">
        <v>12</v>
      </c>
      <c r="C219" s="4">
        <v>19014</v>
      </c>
      <c r="D219" s="2" t="s">
        <v>9</v>
      </c>
      <c r="E219" s="2" t="s">
        <v>35</v>
      </c>
      <c r="F219" s="4">
        <v>2020</v>
      </c>
    </row>
    <row r="220" spans="1:6" ht="13" x14ac:dyDescent="0.15">
      <c r="A220" s="2" t="s">
        <v>19</v>
      </c>
      <c r="B220" s="3" t="s">
        <v>14</v>
      </c>
      <c r="C220" s="4">
        <v>305055</v>
      </c>
      <c r="D220" s="2" t="s">
        <v>9</v>
      </c>
      <c r="E220" s="2" t="s">
        <v>35</v>
      </c>
      <c r="F220" s="4">
        <v>2020</v>
      </c>
    </row>
    <row r="221" spans="1:6" ht="13" x14ac:dyDescent="0.15">
      <c r="A221" s="2" t="s">
        <v>19</v>
      </c>
      <c r="B221" s="3" t="s">
        <v>16</v>
      </c>
      <c r="C221" s="4">
        <v>260970</v>
      </c>
      <c r="D221" s="2" t="s">
        <v>9</v>
      </c>
      <c r="E221" s="2" t="s">
        <v>35</v>
      </c>
      <c r="F221" s="4">
        <v>2020</v>
      </c>
    </row>
    <row r="222" spans="1:6" ht="13" x14ac:dyDescent="0.15">
      <c r="A222" s="2" t="s">
        <v>21</v>
      </c>
      <c r="B222" s="3" t="s">
        <v>8</v>
      </c>
      <c r="C222" s="4">
        <v>4491</v>
      </c>
      <c r="D222" s="2" t="s">
        <v>9</v>
      </c>
      <c r="E222" s="2" t="s">
        <v>35</v>
      </c>
      <c r="F222" s="4">
        <v>2020</v>
      </c>
    </row>
    <row r="223" spans="1:6" ht="13" x14ac:dyDescent="0.15">
      <c r="A223" s="2" t="s">
        <v>21</v>
      </c>
      <c r="B223" s="3" t="s">
        <v>12</v>
      </c>
      <c r="C223" s="4">
        <v>17506</v>
      </c>
      <c r="D223" s="2" t="s">
        <v>9</v>
      </c>
      <c r="E223" s="2" t="s">
        <v>35</v>
      </c>
      <c r="F223" s="4">
        <v>2020</v>
      </c>
    </row>
    <row r="224" spans="1:6" ht="13" x14ac:dyDescent="0.15">
      <c r="A224" s="2" t="s">
        <v>21</v>
      </c>
      <c r="B224" s="3" t="s">
        <v>14</v>
      </c>
      <c r="C224" s="4">
        <v>168731</v>
      </c>
      <c r="D224" s="2" t="s">
        <v>9</v>
      </c>
      <c r="E224" s="2" t="s">
        <v>35</v>
      </c>
      <c r="F224" s="4">
        <v>2020</v>
      </c>
    </row>
    <row r="225" spans="1:6" ht="13" x14ac:dyDescent="0.15">
      <c r="A225" s="2" t="s">
        <v>21</v>
      </c>
      <c r="B225" s="3" t="s">
        <v>16</v>
      </c>
      <c r="C225" s="4">
        <v>150706</v>
      </c>
      <c r="D225" s="2" t="s">
        <v>9</v>
      </c>
      <c r="E225" s="2" t="s">
        <v>35</v>
      </c>
      <c r="F225" s="4">
        <v>2020</v>
      </c>
    </row>
    <row r="226" spans="1:6" ht="13" x14ac:dyDescent="0.15">
      <c r="A226" s="2" t="s">
        <v>22</v>
      </c>
      <c r="B226" s="3" t="s">
        <v>8</v>
      </c>
      <c r="C226" s="4">
        <v>5820</v>
      </c>
      <c r="D226" s="2" t="s">
        <v>9</v>
      </c>
      <c r="E226" s="2" t="s">
        <v>35</v>
      </c>
      <c r="F226" s="4">
        <v>2020</v>
      </c>
    </row>
    <row r="227" spans="1:6" ht="13" x14ac:dyDescent="0.15">
      <c r="A227" s="2" t="s">
        <v>22</v>
      </c>
      <c r="B227" s="3" t="s">
        <v>12</v>
      </c>
      <c r="C227" s="4">
        <v>18675</v>
      </c>
      <c r="D227" s="2" t="s">
        <v>9</v>
      </c>
      <c r="E227" s="2" t="s">
        <v>35</v>
      </c>
      <c r="F227" s="4">
        <v>2020</v>
      </c>
    </row>
    <row r="228" spans="1:6" ht="13" x14ac:dyDescent="0.15">
      <c r="A228" s="2" t="s">
        <v>22</v>
      </c>
      <c r="B228" s="3" t="s">
        <v>14</v>
      </c>
      <c r="C228" s="4">
        <v>352185</v>
      </c>
      <c r="D228" s="2" t="s">
        <v>9</v>
      </c>
      <c r="E228" s="2" t="s">
        <v>35</v>
      </c>
      <c r="F228" s="4">
        <v>2020</v>
      </c>
    </row>
    <row r="229" spans="1:6" ht="13" x14ac:dyDescent="0.15">
      <c r="A229" s="2" t="s">
        <v>22</v>
      </c>
      <c r="B229" s="3" t="s">
        <v>16</v>
      </c>
      <c r="C229" s="4">
        <v>334978</v>
      </c>
      <c r="D229" s="2" t="s">
        <v>9</v>
      </c>
      <c r="E229" s="2" t="s">
        <v>35</v>
      </c>
      <c r="F229" s="4">
        <v>2020</v>
      </c>
    </row>
    <row r="230" spans="1:6" ht="13" x14ac:dyDescent="0.15">
      <c r="A230" s="2" t="s">
        <v>23</v>
      </c>
      <c r="B230" s="3" t="s">
        <v>8</v>
      </c>
      <c r="C230" s="4">
        <v>6189</v>
      </c>
      <c r="D230" s="2" t="s">
        <v>31</v>
      </c>
      <c r="E230" s="2" t="s">
        <v>35</v>
      </c>
      <c r="F230" s="4">
        <v>2020</v>
      </c>
    </row>
    <row r="231" spans="1:6" ht="13" x14ac:dyDescent="0.15">
      <c r="A231" s="2" t="s">
        <v>23</v>
      </c>
      <c r="B231" s="3" t="s">
        <v>12</v>
      </c>
      <c r="C231" s="4">
        <v>20863</v>
      </c>
      <c r="D231" s="2" t="s">
        <v>31</v>
      </c>
      <c r="E231" s="2" t="s">
        <v>35</v>
      </c>
      <c r="F231" s="4">
        <v>2020</v>
      </c>
    </row>
    <row r="232" spans="1:6" ht="13" x14ac:dyDescent="0.15">
      <c r="A232" s="2" t="s">
        <v>23</v>
      </c>
      <c r="B232" s="3" t="s">
        <v>14</v>
      </c>
      <c r="C232" s="4">
        <v>305428</v>
      </c>
      <c r="D232" s="2" t="s">
        <v>31</v>
      </c>
      <c r="E232" s="2" t="s">
        <v>35</v>
      </c>
      <c r="F232" s="4">
        <v>2020</v>
      </c>
    </row>
    <row r="233" spans="1:6" ht="13" x14ac:dyDescent="0.15">
      <c r="A233" s="2" t="s">
        <v>23</v>
      </c>
      <c r="B233" s="3" t="s">
        <v>16</v>
      </c>
      <c r="C233" s="4">
        <v>275423</v>
      </c>
      <c r="D233" s="2" t="s">
        <v>31</v>
      </c>
      <c r="E233" s="2" t="s">
        <v>35</v>
      </c>
      <c r="F233" s="4">
        <v>2020</v>
      </c>
    </row>
    <row r="234" spans="1:6" ht="13" x14ac:dyDescent="0.15">
      <c r="A234" s="2" t="s">
        <v>24</v>
      </c>
      <c r="B234" s="3" t="s">
        <v>8</v>
      </c>
      <c r="C234" s="4">
        <v>3168</v>
      </c>
      <c r="D234" s="2" t="s">
        <v>31</v>
      </c>
      <c r="E234" s="2" t="s">
        <v>35</v>
      </c>
      <c r="F234" s="4">
        <v>2020</v>
      </c>
    </row>
    <row r="235" spans="1:6" ht="13" x14ac:dyDescent="0.15">
      <c r="A235" s="2" t="s">
        <v>24</v>
      </c>
      <c r="B235" s="3" t="s">
        <v>12</v>
      </c>
      <c r="C235" s="4">
        <v>16069</v>
      </c>
      <c r="D235" s="2" t="s">
        <v>31</v>
      </c>
      <c r="E235" s="2" t="s">
        <v>35</v>
      </c>
      <c r="F235" s="4">
        <v>2020</v>
      </c>
    </row>
    <row r="236" spans="1:6" ht="13" x14ac:dyDescent="0.15">
      <c r="A236" s="2" t="s">
        <v>24</v>
      </c>
      <c r="B236" s="3" t="s">
        <v>14</v>
      </c>
      <c r="C236" s="4">
        <v>265691</v>
      </c>
      <c r="D236" s="2" t="s">
        <v>31</v>
      </c>
      <c r="E236" s="2" t="s">
        <v>35</v>
      </c>
      <c r="F236" s="4">
        <v>2020</v>
      </c>
    </row>
    <row r="237" spans="1:6" ht="13" x14ac:dyDescent="0.15">
      <c r="A237" s="2" t="s">
        <v>24</v>
      </c>
      <c r="B237" s="3" t="s">
        <v>16</v>
      </c>
      <c r="C237" s="4">
        <v>235284</v>
      </c>
      <c r="D237" s="2" t="s">
        <v>31</v>
      </c>
      <c r="E237" s="2" t="s">
        <v>35</v>
      </c>
      <c r="F237" s="4">
        <v>2020</v>
      </c>
    </row>
    <row r="238" spans="1:6" ht="13" x14ac:dyDescent="0.15">
      <c r="A238" s="2" t="s">
        <v>25</v>
      </c>
      <c r="B238" s="3" t="s">
        <v>8</v>
      </c>
      <c r="C238" s="4">
        <v>3147</v>
      </c>
      <c r="D238" s="2" t="s">
        <v>31</v>
      </c>
      <c r="E238" s="2" t="s">
        <v>35</v>
      </c>
      <c r="F238" s="4">
        <v>2020</v>
      </c>
    </row>
    <row r="239" spans="1:6" ht="13" x14ac:dyDescent="0.15">
      <c r="A239" s="2" t="s">
        <v>25</v>
      </c>
      <c r="B239" s="3" t="s">
        <v>12</v>
      </c>
      <c r="C239" s="4">
        <v>12802</v>
      </c>
      <c r="D239" s="2" t="s">
        <v>31</v>
      </c>
      <c r="E239" s="2" t="s">
        <v>35</v>
      </c>
      <c r="F239" s="4">
        <v>2020</v>
      </c>
    </row>
    <row r="240" spans="1:6" ht="13" x14ac:dyDescent="0.15">
      <c r="A240" s="2" t="s">
        <v>25</v>
      </c>
      <c r="B240" s="3" t="s">
        <v>14</v>
      </c>
      <c r="C240" s="4">
        <v>237842</v>
      </c>
      <c r="D240" s="2" t="s">
        <v>31</v>
      </c>
      <c r="E240" s="2" t="s">
        <v>35</v>
      </c>
      <c r="F240" s="4">
        <v>2020</v>
      </c>
    </row>
    <row r="241" spans="1:6" ht="13" x14ac:dyDescent="0.15">
      <c r="A241" s="2" t="s">
        <v>25</v>
      </c>
      <c r="B241" s="3" t="s">
        <v>16</v>
      </c>
      <c r="C241" s="4">
        <v>232639</v>
      </c>
      <c r="D241" s="2" t="s">
        <v>31</v>
      </c>
      <c r="E241" s="2" t="s">
        <v>35</v>
      </c>
      <c r="F241" s="4">
        <v>2020</v>
      </c>
    </row>
    <row r="242" spans="1:6" ht="13" x14ac:dyDescent="0.15">
      <c r="A242" s="2" t="s">
        <v>20</v>
      </c>
      <c r="B242" s="3" t="s">
        <v>8</v>
      </c>
      <c r="C242" s="4">
        <v>4418</v>
      </c>
      <c r="D242" s="2" t="s">
        <v>32</v>
      </c>
      <c r="E242" s="2" t="s">
        <v>35</v>
      </c>
      <c r="F242" s="4">
        <v>2020</v>
      </c>
    </row>
    <row r="243" spans="1:6" ht="13" x14ac:dyDescent="0.15">
      <c r="A243" s="2" t="s">
        <v>20</v>
      </c>
      <c r="B243" s="3" t="s">
        <v>12</v>
      </c>
      <c r="C243" s="4">
        <v>16575</v>
      </c>
      <c r="D243" s="2" t="s">
        <v>32</v>
      </c>
      <c r="E243" s="2" t="s">
        <v>35</v>
      </c>
      <c r="F243" s="4">
        <v>2020</v>
      </c>
    </row>
    <row r="244" spans="1:6" ht="13" x14ac:dyDescent="0.15">
      <c r="A244" s="2" t="s">
        <v>20</v>
      </c>
      <c r="B244" s="3" t="s">
        <v>14</v>
      </c>
      <c r="C244" s="4">
        <v>246135</v>
      </c>
      <c r="D244" s="2" t="s">
        <v>32</v>
      </c>
      <c r="E244" s="2" t="s">
        <v>35</v>
      </c>
      <c r="F244" s="4">
        <v>2020</v>
      </c>
    </row>
    <row r="245" spans="1:6" ht="13" x14ac:dyDescent="0.15">
      <c r="A245" s="2" t="s">
        <v>20</v>
      </c>
      <c r="B245" s="3" t="s">
        <v>16</v>
      </c>
      <c r="C245" s="4">
        <v>206343</v>
      </c>
      <c r="D245" s="2" t="s">
        <v>32</v>
      </c>
      <c r="E245" s="2" t="s">
        <v>35</v>
      </c>
      <c r="F245" s="4">
        <v>2020</v>
      </c>
    </row>
    <row r="246" spans="1:6" ht="13" x14ac:dyDescent="0.15">
      <c r="A246" s="2" t="s">
        <v>26</v>
      </c>
      <c r="B246" s="3" t="s">
        <v>8</v>
      </c>
      <c r="C246" s="4">
        <v>1721</v>
      </c>
      <c r="D246" s="2" t="s">
        <v>32</v>
      </c>
      <c r="E246" s="2" t="s">
        <v>35</v>
      </c>
      <c r="F246" s="4">
        <v>2020</v>
      </c>
    </row>
    <row r="247" spans="1:6" ht="13" x14ac:dyDescent="0.15">
      <c r="A247" s="2" t="s">
        <v>26</v>
      </c>
      <c r="B247" s="3" t="s">
        <v>12</v>
      </c>
      <c r="C247" s="4">
        <v>7251</v>
      </c>
      <c r="D247" s="2" t="s">
        <v>32</v>
      </c>
      <c r="E247" s="2" t="s">
        <v>35</v>
      </c>
      <c r="F247" s="4">
        <v>2020</v>
      </c>
    </row>
    <row r="248" spans="1:6" ht="13" x14ac:dyDescent="0.15">
      <c r="A248" s="2" t="s">
        <v>26</v>
      </c>
      <c r="B248" s="3" t="s">
        <v>14</v>
      </c>
      <c r="C248" s="4">
        <v>202127</v>
      </c>
      <c r="D248" s="2" t="s">
        <v>32</v>
      </c>
      <c r="E248" s="2" t="s">
        <v>35</v>
      </c>
      <c r="F248" s="4">
        <v>2020</v>
      </c>
    </row>
    <row r="249" spans="1:6" ht="13" x14ac:dyDescent="0.15">
      <c r="A249" s="2" t="s">
        <v>26</v>
      </c>
      <c r="B249" s="3" t="s">
        <v>16</v>
      </c>
      <c r="C249" s="4">
        <v>210854</v>
      </c>
      <c r="D249" s="2" t="s">
        <v>32</v>
      </c>
      <c r="E249" s="2" t="s">
        <v>35</v>
      </c>
      <c r="F249" s="4">
        <v>2020</v>
      </c>
    </row>
    <row r="250" spans="1:6" ht="13" x14ac:dyDescent="0.15">
      <c r="A250" s="2" t="s">
        <v>27</v>
      </c>
      <c r="B250" s="3" t="s">
        <v>8</v>
      </c>
      <c r="C250" s="4">
        <v>1747</v>
      </c>
      <c r="D250" s="2" t="s">
        <v>32</v>
      </c>
      <c r="E250" s="2" t="s">
        <v>35</v>
      </c>
      <c r="F250" s="4">
        <v>2020</v>
      </c>
    </row>
    <row r="251" spans="1:6" ht="13" x14ac:dyDescent="0.15">
      <c r="A251" s="2" t="s">
        <v>27</v>
      </c>
      <c r="B251" s="3" t="s">
        <v>12</v>
      </c>
      <c r="C251" s="4">
        <v>8843</v>
      </c>
      <c r="D251" s="2" t="s">
        <v>32</v>
      </c>
      <c r="E251" s="2" t="s">
        <v>35</v>
      </c>
      <c r="F251" s="4">
        <v>2020</v>
      </c>
    </row>
    <row r="252" spans="1:6" ht="13" x14ac:dyDescent="0.15">
      <c r="A252" s="2" t="s">
        <v>27</v>
      </c>
      <c r="B252" s="3" t="s">
        <v>14</v>
      </c>
      <c r="C252" s="4">
        <v>201006</v>
      </c>
      <c r="D252" s="2" t="s">
        <v>32</v>
      </c>
      <c r="E252" s="2" t="s">
        <v>35</v>
      </c>
      <c r="F252" s="4">
        <v>2020</v>
      </c>
    </row>
    <row r="253" spans="1:6" ht="13" x14ac:dyDescent="0.15">
      <c r="A253" s="2" t="s">
        <v>27</v>
      </c>
      <c r="B253" s="3" t="s">
        <v>16</v>
      </c>
      <c r="C253" s="4">
        <v>177787</v>
      </c>
      <c r="D253" s="2" t="s">
        <v>32</v>
      </c>
      <c r="E253" s="2" t="s">
        <v>35</v>
      </c>
      <c r="F253" s="4">
        <v>2020</v>
      </c>
    </row>
    <row r="254" spans="1:6" ht="13" x14ac:dyDescent="0.15">
      <c r="A254" s="2" t="s">
        <v>28</v>
      </c>
      <c r="B254" s="3" t="s">
        <v>8</v>
      </c>
      <c r="C254" s="4">
        <v>1101</v>
      </c>
      <c r="D254" s="2" t="s">
        <v>32</v>
      </c>
      <c r="E254" s="2" t="s">
        <v>35</v>
      </c>
      <c r="F254" s="4">
        <v>2020</v>
      </c>
    </row>
    <row r="255" spans="1:6" ht="13" x14ac:dyDescent="0.15">
      <c r="A255" s="2" t="s">
        <v>28</v>
      </c>
      <c r="B255" s="3" t="s">
        <v>12</v>
      </c>
      <c r="C255" s="4">
        <v>4730</v>
      </c>
      <c r="D255" s="2" t="s">
        <v>32</v>
      </c>
      <c r="E255" s="2" t="s">
        <v>35</v>
      </c>
      <c r="F255" s="4">
        <v>2020</v>
      </c>
    </row>
    <row r="256" spans="1:6" ht="13" x14ac:dyDescent="0.15">
      <c r="A256" s="2" t="s">
        <v>28</v>
      </c>
      <c r="B256" s="3" t="s">
        <v>14</v>
      </c>
      <c r="C256" s="4">
        <v>155255</v>
      </c>
      <c r="D256" s="2" t="s">
        <v>32</v>
      </c>
      <c r="E256" s="2" t="s">
        <v>35</v>
      </c>
      <c r="F256" s="4">
        <v>2020</v>
      </c>
    </row>
    <row r="257" spans="1:6" ht="13" x14ac:dyDescent="0.15">
      <c r="A257" s="2" t="s">
        <v>28</v>
      </c>
      <c r="B257" s="3" t="s">
        <v>16</v>
      </c>
      <c r="C257" s="4">
        <v>155629</v>
      </c>
      <c r="D257" s="2" t="s">
        <v>32</v>
      </c>
      <c r="E257" s="2" t="s">
        <v>35</v>
      </c>
      <c r="F257" s="4">
        <v>2020</v>
      </c>
    </row>
    <row r="258" spans="1:6" ht="13" x14ac:dyDescent="0.15">
      <c r="A258" s="2" t="s">
        <v>29</v>
      </c>
      <c r="B258" s="3" t="s">
        <v>8</v>
      </c>
      <c r="C258" s="4">
        <v>3378</v>
      </c>
      <c r="D258" s="2" t="s">
        <v>32</v>
      </c>
      <c r="E258" s="2" t="s">
        <v>35</v>
      </c>
      <c r="F258" s="4">
        <v>2020</v>
      </c>
    </row>
    <row r="259" spans="1:6" ht="13" x14ac:dyDescent="0.15">
      <c r="A259" s="2" t="s">
        <v>29</v>
      </c>
      <c r="B259" s="3" t="s">
        <v>12</v>
      </c>
      <c r="C259" s="4">
        <v>12597</v>
      </c>
      <c r="D259" s="2" t="s">
        <v>32</v>
      </c>
      <c r="E259" s="2" t="s">
        <v>35</v>
      </c>
      <c r="F259" s="4">
        <v>2020</v>
      </c>
    </row>
    <row r="260" spans="1:6" ht="13" x14ac:dyDescent="0.15">
      <c r="A260" s="2" t="s">
        <v>29</v>
      </c>
      <c r="B260" s="3" t="s">
        <v>14</v>
      </c>
      <c r="C260" s="4">
        <v>160217</v>
      </c>
      <c r="D260" s="2" t="s">
        <v>32</v>
      </c>
      <c r="E260" s="2" t="s">
        <v>35</v>
      </c>
      <c r="F260" s="4">
        <v>2020</v>
      </c>
    </row>
    <row r="261" spans="1:6" ht="13" x14ac:dyDescent="0.15">
      <c r="A261" s="2" t="s">
        <v>29</v>
      </c>
      <c r="B261" s="3" t="s">
        <v>16</v>
      </c>
      <c r="C261" s="4">
        <v>138828</v>
      </c>
      <c r="D261" s="2" t="s">
        <v>32</v>
      </c>
      <c r="E261" s="2" t="s">
        <v>35</v>
      </c>
      <c r="F261" s="4">
        <v>2020</v>
      </c>
    </row>
    <row r="262" spans="1:6" ht="13" x14ac:dyDescent="0.15">
      <c r="A262" s="2" t="s">
        <v>11</v>
      </c>
      <c r="B262" s="3" t="s">
        <v>8</v>
      </c>
      <c r="C262" s="4">
        <v>550</v>
      </c>
      <c r="D262" s="2" t="s">
        <v>32</v>
      </c>
      <c r="E262" s="2" t="s">
        <v>35</v>
      </c>
      <c r="F262" s="4">
        <v>2020</v>
      </c>
    </row>
    <row r="263" spans="1:6" ht="13" x14ac:dyDescent="0.15">
      <c r="A263" s="2" t="s">
        <v>11</v>
      </c>
      <c r="B263" s="3" t="s">
        <v>12</v>
      </c>
      <c r="C263" s="4">
        <v>2310</v>
      </c>
      <c r="D263" s="2" t="s">
        <v>32</v>
      </c>
      <c r="E263" s="2" t="s">
        <v>35</v>
      </c>
      <c r="F263" s="4">
        <v>2020</v>
      </c>
    </row>
    <row r="264" spans="1:6" ht="13" x14ac:dyDescent="0.15">
      <c r="A264" s="2" t="s">
        <v>11</v>
      </c>
      <c r="B264" s="3" t="s">
        <v>14</v>
      </c>
      <c r="C264" s="4">
        <v>310950</v>
      </c>
      <c r="D264" s="2" t="s">
        <v>32</v>
      </c>
      <c r="E264" s="2" t="s">
        <v>35</v>
      </c>
      <c r="F264" s="4">
        <v>2020</v>
      </c>
    </row>
    <row r="265" spans="1:6" ht="13" x14ac:dyDescent="0.15">
      <c r="A265" s="2" t="s">
        <v>11</v>
      </c>
      <c r="B265" s="3" t="s">
        <v>16</v>
      </c>
      <c r="C265" s="4">
        <v>390854</v>
      </c>
      <c r="D265" s="2" t="s">
        <v>32</v>
      </c>
      <c r="E265" s="2" t="s">
        <v>35</v>
      </c>
      <c r="F265" s="4">
        <v>2020</v>
      </c>
    </row>
  </sheetData>
  <autoFilter ref="A1:F26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E0260-1A78-F54E-9604-19DA4DB8D3B9}">
  <sheetPr>
    <tabColor rgb="FFC00000"/>
  </sheetPr>
  <dimension ref="A1:G20"/>
  <sheetViews>
    <sheetView workbookViewId="0">
      <selection activeCell="U26" sqref="U26"/>
    </sheetView>
  </sheetViews>
  <sheetFormatPr baseColWidth="10" defaultRowHeight="13" x14ac:dyDescent="0.15"/>
  <sheetData>
    <row r="1" spans="1:7" ht="16" x14ac:dyDescent="0.2">
      <c r="A1" s="17" t="s">
        <v>0</v>
      </c>
      <c r="B1" s="29" t="s">
        <v>51</v>
      </c>
      <c r="C1" s="29" t="s">
        <v>52</v>
      </c>
      <c r="D1" s="29" t="s">
        <v>45</v>
      </c>
      <c r="E1" s="29" t="s">
        <v>46</v>
      </c>
      <c r="F1" s="31" t="s">
        <v>53</v>
      </c>
    </row>
    <row r="2" spans="1:7" x14ac:dyDescent="0.15">
      <c r="A2" s="21" t="s">
        <v>18</v>
      </c>
      <c r="B2" s="21">
        <v>67.06</v>
      </c>
      <c r="C2" s="21">
        <v>100</v>
      </c>
      <c r="D2" s="21">
        <v>87.69</v>
      </c>
      <c r="E2" s="21">
        <v>58.03</v>
      </c>
      <c r="F2" s="32">
        <f t="shared" ref="F2:F18" si="0">(AVERAGE(B2:E2))/100</f>
        <v>0.78194999999999992</v>
      </c>
      <c r="G2" s="34" t="str">
        <f>IF(F2&gt;$F$20,"High","Low")</f>
        <v>High</v>
      </c>
    </row>
    <row r="3" spans="1:7" x14ac:dyDescent="0.15">
      <c r="A3" s="21" t="s">
        <v>19</v>
      </c>
      <c r="B3" s="21">
        <v>65.37</v>
      </c>
      <c r="C3" s="21">
        <v>98.23</v>
      </c>
      <c r="D3" s="21">
        <v>87.85</v>
      </c>
      <c r="E3" s="21">
        <v>54.79</v>
      </c>
      <c r="F3" s="32">
        <f t="shared" si="0"/>
        <v>0.76560000000000006</v>
      </c>
      <c r="G3" s="34" t="str">
        <f t="shared" ref="G3:G18" si="1">IF(F3&gt;$F$20,"High","Low")</f>
        <v>High</v>
      </c>
    </row>
    <row r="4" spans="1:7" x14ac:dyDescent="0.15">
      <c r="A4" s="21" t="s">
        <v>17</v>
      </c>
      <c r="B4" s="21">
        <v>62.45</v>
      </c>
      <c r="C4" s="21">
        <v>97.17</v>
      </c>
      <c r="D4" s="21">
        <v>88.81</v>
      </c>
      <c r="E4" s="21">
        <v>56.46</v>
      </c>
      <c r="F4" s="32">
        <f t="shared" si="0"/>
        <v>0.76222499999999993</v>
      </c>
      <c r="G4" s="34" t="str">
        <f t="shared" si="1"/>
        <v>High</v>
      </c>
    </row>
    <row r="5" spans="1:7" x14ac:dyDescent="0.15">
      <c r="A5" s="21" t="s">
        <v>24</v>
      </c>
      <c r="B5" s="21">
        <v>69.5</v>
      </c>
      <c r="C5" s="21">
        <v>98.07</v>
      </c>
      <c r="D5" s="21">
        <v>88.52</v>
      </c>
      <c r="E5" s="21">
        <v>47.81</v>
      </c>
      <c r="F5" s="32">
        <f t="shared" si="0"/>
        <v>0.75974999999999993</v>
      </c>
      <c r="G5" s="34" t="str">
        <f t="shared" si="1"/>
        <v>High</v>
      </c>
    </row>
    <row r="6" spans="1:7" x14ac:dyDescent="0.15">
      <c r="A6" s="21" t="s">
        <v>7</v>
      </c>
      <c r="B6" s="21">
        <v>57.17</v>
      </c>
      <c r="C6" s="21">
        <v>89.91</v>
      </c>
      <c r="D6" s="21">
        <v>89.68</v>
      </c>
      <c r="E6" s="21">
        <v>62.28</v>
      </c>
      <c r="F6" s="32">
        <f t="shared" si="0"/>
        <v>0.74759999999999993</v>
      </c>
      <c r="G6" s="34" t="str">
        <f t="shared" si="1"/>
        <v>High</v>
      </c>
    </row>
    <row r="7" spans="1:7" x14ac:dyDescent="0.15">
      <c r="A7" s="21" t="s">
        <v>15</v>
      </c>
      <c r="B7" s="21">
        <v>57.1</v>
      </c>
      <c r="C7" s="21">
        <v>89.99</v>
      </c>
      <c r="D7" s="21">
        <v>89.85</v>
      </c>
      <c r="E7" s="21">
        <v>61.54</v>
      </c>
      <c r="F7" s="32">
        <f t="shared" si="0"/>
        <v>0.74620000000000009</v>
      </c>
      <c r="G7" s="34" t="str">
        <f t="shared" si="1"/>
        <v>High</v>
      </c>
    </row>
    <row r="8" spans="1:7" x14ac:dyDescent="0.15">
      <c r="A8" s="21" t="s">
        <v>23</v>
      </c>
      <c r="B8" s="21">
        <v>66.819999999999993</v>
      </c>
      <c r="C8" s="21">
        <v>97.25</v>
      </c>
      <c r="D8" s="21">
        <v>85.68</v>
      </c>
      <c r="E8" s="21">
        <v>44.22</v>
      </c>
      <c r="F8" s="32">
        <f t="shared" si="0"/>
        <v>0.73492500000000005</v>
      </c>
      <c r="G8" s="34" t="str">
        <f t="shared" si="1"/>
        <v>High</v>
      </c>
    </row>
    <row r="9" spans="1:7" x14ac:dyDescent="0.15">
      <c r="A9" s="21" t="s">
        <v>13</v>
      </c>
      <c r="B9" s="21">
        <v>62.32</v>
      </c>
      <c r="C9" s="21">
        <v>91.4</v>
      </c>
      <c r="D9" s="21">
        <v>84.76</v>
      </c>
      <c r="E9" s="21">
        <v>50.53</v>
      </c>
      <c r="F9" s="32">
        <f t="shared" si="0"/>
        <v>0.72252499999999997</v>
      </c>
      <c r="G9" s="34" t="str">
        <f t="shared" si="1"/>
        <v>High</v>
      </c>
    </row>
    <row r="10" spans="1:7" x14ac:dyDescent="0.15">
      <c r="A10" s="21" t="s">
        <v>26</v>
      </c>
      <c r="B10" s="21">
        <v>73.36</v>
      </c>
      <c r="C10" s="21">
        <v>99.23</v>
      </c>
      <c r="D10" s="21">
        <v>76.75</v>
      </c>
      <c r="E10" s="21">
        <v>38.049999999999997</v>
      </c>
      <c r="F10" s="32">
        <f t="shared" si="0"/>
        <v>0.71847499999999997</v>
      </c>
      <c r="G10" s="34" t="str">
        <f t="shared" si="1"/>
        <v>Low</v>
      </c>
    </row>
    <row r="11" spans="1:7" x14ac:dyDescent="0.15">
      <c r="A11" s="21" t="s">
        <v>29</v>
      </c>
      <c r="B11" s="21">
        <v>64.31</v>
      </c>
      <c r="C11" s="21">
        <v>94.84</v>
      </c>
      <c r="D11" s="21">
        <v>82.2</v>
      </c>
      <c r="E11" s="21">
        <v>40.770000000000003</v>
      </c>
      <c r="F11" s="32">
        <f t="shared" si="0"/>
        <v>0.70530000000000004</v>
      </c>
      <c r="G11" s="34" t="str">
        <f t="shared" si="1"/>
        <v>Low</v>
      </c>
    </row>
    <row r="12" spans="1:7" x14ac:dyDescent="0.15">
      <c r="A12" s="21" t="s">
        <v>27</v>
      </c>
      <c r="B12" s="21">
        <v>60.45</v>
      </c>
      <c r="C12" s="21">
        <v>93.87</v>
      </c>
      <c r="D12" s="21">
        <v>85.44</v>
      </c>
      <c r="E12" s="21">
        <v>41.53</v>
      </c>
      <c r="F12" s="32">
        <f t="shared" si="0"/>
        <v>0.70322499999999988</v>
      </c>
      <c r="G12" s="34" t="str">
        <f t="shared" si="1"/>
        <v>Low</v>
      </c>
    </row>
    <row r="13" spans="1:7" x14ac:dyDescent="0.15">
      <c r="A13" s="21" t="s">
        <v>22</v>
      </c>
      <c r="B13" s="21">
        <v>63.58</v>
      </c>
      <c r="C13" s="21">
        <v>92.68</v>
      </c>
      <c r="D13" s="21">
        <v>82.27</v>
      </c>
      <c r="E13" s="21">
        <v>42.31</v>
      </c>
      <c r="F13" s="32">
        <f t="shared" si="0"/>
        <v>0.70209999999999995</v>
      </c>
      <c r="G13" s="34" t="str">
        <f t="shared" si="1"/>
        <v>Low</v>
      </c>
    </row>
    <row r="14" spans="1:7" x14ac:dyDescent="0.15">
      <c r="A14" s="21" t="s">
        <v>44</v>
      </c>
      <c r="B14" s="21">
        <v>58.61</v>
      </c>
      <c r="C14" s="21">
        <v>90.26</v>
      </c>
      <c r="D14" s="21">
        <v>81.12</v>
      </c>
      <c r="E14" s="21">
        <v>46</v>
      </c>
      <c r="F14" s="32">
        <f t="shared" si="0"/>
        <v>0.689975</v>
      </c>
      <c r="G14" s="34" t="str">
        <f t="shared" si="1"/>
        <v>Low</v>
      </c>
    </row>
    <row r="15" spans="1:7" x14ac:dyDescent="0.15">
      <c r="A15" s="21" t="s">
        <v>25</v>
      </c>
      <c r="B15" s="21">
        <v>61.75</v>
      </c>
      <c r="C15" s="21">
        <v>91.6</v>
      </c>
      <c r="D15" s="21">
        <v>80.05</v>
      </c>
      <c r="E15" s="21">
        <v>42.08</v>
      </c>
      <c r="F15" s="32">
        <f t="shared" si="0"/>
        <v>0.68869999999999987</v>
      </c>
      <c r="G15" s="34" t="str">
        <f t="shared" si="1"/>
        <v>Low</v>
      </c>
    </row>
    <row r="16" spans="1:7" x14ac:dyDescent="0.15">
      <c r="A16" s="21" t="s">
        <v>28</v>
      </c>
      <c r="B16" s="21">
        <v>64.41</v>
      </c>
      <c r="C16" s="21">
        <v>92.24</v>
      </c>
      <c r="D16" s="21">
        <v>75.89</v>
      </c>
      <c r="E16" s="21">
        <v>37.450000000000003</v>
      </c>
      <c r="F16" s="32">
        <f t="shared" si="0"/>
        <v>0.67497499999999988</v>
      </c>
      <c r="G16" s="34" t="str">
        <f t="shared" si="1"/>
        <v>Low</v>
      </c>
    </row>
    <row r="17" spans="1:7" x14ac:dyDescent="0.15">
      <c r="A17" s="21" t="s">
        <v>20</v>
      </c>
      <c r="B17" s="21">
        <v>65.239999999999995</v>
      </c>
      <c r="C17" s="21">
        <v>91.7</v>
      </c>
      <c r="D17" s="21">
        <v>74.239999999999995</v>
      </c>
      <c r="E17" s="21">
        <v>34.43</v>
      </c>
      <c r="F17" s="32">
        <f t="shared" si="0"/>
        <v>0.66402500000000009</v>
      </c>
      <c r="G17" s="34" t="str">
        <f t="shared" si="1"/>
        <v>Low</v>
      </c>
    </row>
    <row r="18" spans="1:7" x14ac:dyDescent="0.15">
      <c r="A18" s="21" t="s">
        <v>11</v>
      </c>
      <c r="B18" s="21">
        <v>53.65</v>
      </c>
      <c r="C18" s="21">
        <v>71.510000000000005</v>
      </c>
      <c r="D18" s="21">
        <v>36.479999999999997</v>
      </c>
      <c r="E18" s="21">
        <v>10.59</v>
      </c>
      <c r="F18" s="32">
        <f t="shared" si="0"/>
        <v>0.43057499999999999</v>
      </c>
      <c r="G18" s="34" t="str">
        <f t="shared" si="1"/>
        <v>Low</v>
      </c>
    </row>
    <row r="20" spans="1:7" x14ac:dyDescent="0.15">
      <c r="E20" s="21" t="s">
        <v>36</v>
      </c>
      <c r="F20" s="33">
        <f>MEDIAN(F2:F18)</f>
        <v>0.71847499999999997</v>
      </c>
    </row>
  </sheetData>
  <autoFilter ref="A1:F18" xr:uid="{05CE0260-1A78-F54E-9604-19DA4DB8D3B9}">
    <sortState xmlns:xlrd2="http://schemas.microsoft.com/office/spreadsheetml/2017/richdata2" ref="A2:F18">
      <sortCondition descending="1" ref="F1:F18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9FF0E-5A4A-6140-B7E0-5D0FAA365101}">
  <dimension ref="A1:E20"/>
  <sheetViews>
    <sheetView zoomScale="81" zoomScaleNormal="50" workbookViewId="0">
      <selection activeCell="L41" sqref="L41"/>
    </sheetView>
  </sheetViews>
  <sheetFormatPr baseColWidth="10" defaultRowHeight="13" x14ac:dyDescent="0.15"/>
  <cols>
    <col min="2" max="2" width="28.33203125" bestFit="1" customWidth="1"/>
    <col min="3" max="3" width="24.1640625" bestFit="1" customWidth="1"/>
    <col min="4" max="5" width="11.5" bestFit="1" customWidth="1"/>
  </cols>
  <sheetData>
    <row r="1" spans="1:5" ht="16" x14ac:dyDescent="0.2">
      <c r="A1" s="17" t="s">
        <v>0</v>
      </c>
      <c r="B1" s="17" t="s">
        <v>49</v>
      </c>
      <c r="C1" s="17" t="s">
        <v>50</v>
      </c>
      <c r="D1" s="26" t="s">
        <v>47</v>
      </c>
      <c r="E1" s="26" t="s">
        <v>48</v>
      </c>
    </row>
    <row r="2" spans="1:5" ht="16" x14ac:dyDescent="0.2">
      <c r="A2" s="16" t="s">
        <v>13</v>
      </c>
      <c r="B2" s="20">
        <v>107187</v>
      </c>
      <c r="C2" s="30">
        <f>_xlfn.XLOOKUP(A2,'ENROLLMENT RATE'!$A$2:$A$18,'ENROLLMENT RATE'!$F$2:$F$18)</f>
        <v>0.72252499999999997</v>
      </c>
      <c r="D2" s="27">
        <f>B2-(MEDIAN($B$2:$B$18))</f>
        <v>-335379</v>
      </c>
      <c r="E2" s="35">
        <f>C2-(MEDIAN($C$2:$C$18))</f>
        <v>4.049999999999998E-3</v>
      </c>
    </row>
    <row r="3" spans="1:5" ht="16" x14ac:dyDescent="0.2">
      <c r="A3" s="16" t="s">
        <v>7</v>
      </c>
      <c r="B3" s="20">
        <v>398900</v>
      </c>
      <c r="C3" s="30">
        <f>_xlfn.XLOOKUP(A3,'ENROLLMENT RATE'!$A$2:$A$18,'ENROLLMENT RATE'!$F$2:$F$18)</f>
        <v>0.74759999999999993</v>
      </c>
      <c r="D3" s="27">
        <f t="shared" ref="D3:D18" si="0">B3-(MEDIAN($B$2:$B$18))</f>
        <v>-43666</v>
      </c>
      <c r="E3" s="35">
        <f t="shared" ref="E3:E18" si="1">C3-(MEDIAN($C$2:$C$18))</f>
        <v>2.9124999999999956E-2</v>
      </c>
    </row>
    <row r="4" spans="1:5" ht="16" x14ac:dyDescent="0.2">
      <c r="A4" s="16" t="s">
        <v>19</v>
      </c>
      <c r="B4" s="20">
        <v>606348.5</v>
      </c>
      <c r="C4" s="30">
        <f>_xlfn.XLOOKUP(A4,'ENROLLMENT RATE'!$A$2:$A$18,'ENROLLMENT RATE'!$F$2:$F$18)</f>
        <v>0.76560000000000006</v>
      </c>
      <c r="D4" s="27">
        <f t="shared" si="0"/>
        <v>163782.5</v>
      </c>
      <c r="E4" s="35">
        <f t="shared" si="1"/>
        <v>4.7125000000000083E-2</v>
      </c>
    </row>
    <row r="5" spans="1:5" ht="16" x14ac:dyDescent="0.2">
      <c r="A5" s="16" t="s">
        <v>18</v>
      </c>
      <c r="B5" s="20">
        <v>532256</v>
      </c>
      <c r="C5" s="30">
        <f>_xlfn.XLOOKUP(A5,'ENROLLMENT RATE'!$A$2:$A$18,'ENROLLMENT RATE'!$F$2:$F$18)</f>
        <v>0.78194999999999992</v>
      </c>
      <c r="D5" s="27">
        <f t="shared" si="0"/>
        <v>89690</v>
      </c>
      <c r="E5" s="35">
        <f t="shared" si="1"/>
        <v>6.3474999999999948E-2</v>
      </c>
    </row>
    <row r="6" spans="1:5" ht="16" x14ac:dyDescent="0.2">
      <c r="A6" s="16" t="s">
        <v>17</v>
      </c>
      <c r="B6" s="20">
        <v>191926.5</v>
      </c>
      <c r="C6" s="30">
        <f>_xlfn.XLOOKUP(A6,'ENROLLMENT RATE'!$A$2:$A$18,'ENROLLMENT RATE'!$F$2:$F$18)</f>
        <v>0.76222499999999993</v>
      </c>
      <c r="D6" s="27">
        <f t="shared" si="0"/>
        <v>-250639.5</v>
      </c>
      <c r="E6" s="35">
        <f t="shared" si="1"/>
        <v>4.3749999999999956E-2</v>
      </c>
    </row>
    <row r="7" spans="1:5" ht="16" x14ac:dyDescent="0.2">
      <c r="A7" s="16" t="s">
        <v>24</v>
      </c>
      <c r="B7" s="20">
        <v>540618</v>
      </c>
      <c r="C7" s="30">
        <f>_xlfn.XLOOKUP(A7,'ENROLLMENT RATE'!$A$2:$A$18,'ENROLLMENT RATE'!$F$2:$F$18)</f>
        <v>0.75974999999999993</v>
      </c>
      <c r="D7" s="27">
        <f t="shared" si="0"/>
        <v>98052</v>
      </c>
      <c r="E7" s="35">
        <f t="shared" si="1"/>
        <v>4.1274999999999951E-2</v>
      </c>
    </row>
    <row r="8" spans="1:5" ht="16" x14ac:dyDescent="0.2">
      <c r="A8" s="16" t="s">
        <v>15</v>
      </c>
      <c r="B8" s="20">
        <v>381794.5</v>
      </c>
      <c r="C8" s="30">
        <f>_xlfn.XLOOKUP(A8,'ENROLLMENT RATE'!$A$2:$A$18,'ENROLLMENT RATE'!$F$2:$F$18)</f>
        <v>0.74620000000000009</v>
      </c>
      <c r="D8" s="27">
        <f t="shared" si="0"/>
        <v>-60771.5</v>
      </c>
      <c r="E8" s="35">
        <f t="shared" si="1"/>
        <v>2.7725000000000111E-2</v>
      </c>
    </row>
    <row r="9" spans="1:5" ht="16" x14ac:dyDescent="0.2">
      <c r="A9" s="16" t="s">
        <v>23</v>
      </c>
      <c r="B9" s="20">
        <v>624815</v>
      </c>
      <c r="C9" s="30">
        <f>_xlfn.XLOOKUP(A9,'ENROLLMENT RATE'!$A$2:$A$18,'ENROLLMENT RATE'!$F$2:$F$18)</f>
        <v>0.73492500000000005</v>
      </c>
      <c r="D9" s="27">
        <f t="shared" si="0"/>
        <v>182249</v>
      </c>
      <c r="E9" s="35">
        <f t="shared" si="1"/>
        <v>1.6450000000000076E-2</v>
      </c>
    </row>
    <row r="10" spans="1:5" ht="16" x14ac:dyDescent="0.2">
      <c r="A10" s="16" t="s">
        <v>27</v>
      </c>
      <c r="B10" s="20">
        <v>404542.5</v>
      </c>
      <c r="C10" s="30">
        <f>_xlfn.XLOOKUP(A10,'ENROLLMENT RATE'!$A$2:$A$18,'ENROLLMENT RATE'!$F$2:$F$18)</f>
        <v>0.70322499999999988</v>
      </c>
      <c r="D10" s="27">
        <f t="shared" si="0"/>
        <v>-38023.5</v>
      </c>
      <c r="E10" s="35">
        <f t="shared" si="1"/>
        <v>-1.5250000000000097E-2</v>
      </c>
    </row>
    <row r="11" spans="1:5" ht="16" x14ac:dyDescent="0.2">
      <c r="A11" s="16" t="s">
        <v>28</v>
      </c>
      <c r="B11" s="20">
        <v>401800.5</v>
      </c>
      <c r="C11" s="30">
        <f>_xlfn.XLOOKUP(A11,'ENROLLMENT RATE'!$A$2:$A$18,'ENROLLMENT RATE'!$F$2:$F$18)</f>
        <v>0.67497499999999988</v>
      </c>
      <c r="D11" s="27">
        <f t="shared" si="0"/>
        <v>-40765.5</v>
      </c>
      <c r="E11" s="35">
        <f t="shared" si="1"/>
        <v>-4.3500000000000094E-2</v>
      </c>
    </row>
    <row r="12" spans="1:5" ht="16" x14ac:dyDescent="0.2">
      <c r="A12" s="16" t="s">
        <v>26</v>
      </c>
      <c r="B12" s="20">
        <v>442566</v>
      </c>
      <c r="C12" s="30">
        <f>_xlfn.XLOOKUP(A12,'ENROLLMENT RATE'!$A$2:$A$18,'ENROLLMENT RATE'!$F$2:$F$18)</f>
        <v>0.71847499999999997</v>
      </c>
      <c r="D12" s="27">
        <f t="shared" si="0"/>
        <v>0</v>
      </c>
      <c r="E12" s="35">
        <f t="shared" si="1"/>
        <v>0</v>
      </c>
    </row>
    <row r="13" spans="1:5" ht="16" x14ac:dyDescent="0.2">
      <c r="A13" s="16" t="s">
        <v>44</v>
      </c>
      <c r="B13" s="20">
        <v>351762.5</v>
      </c>
      <c r="C13" s="30">
        <f>_xlfn.XLOOKUP(A13,'ENROLLMENT RATE'!$A$2:$A$18,'ENROLLMENT RATE'!$F$2:$F$18)</f>
        <v>0.689975</v>
      </c>
      <c r="D13" s="27">
        <f t="shared" si="0"/>
        <v>-90803.5</v>
      </c>
      <c r="E13" s="35">
        <f t="shared" si="1"/>
        <v>-2.849999999999997E-2</v>
      </c>
    </row>
    <row r="14" spans="1:5" ht="16" x14ac:dyDescent="0.2">
      <c r="A14" s="16" t="s">
        <v>25</v>
      </c>
      <c r="B14" s="20">
        <v>504800</v>
      </c>
      <c r="C14" s="30">
        <f>_xlfn.XLOOKUP(A14,'ENROLLMENT RATE'!$A$2:$A$18,'ENROLLMENT RATE'!$F$2:$F$18)</f>
        <v>0.68869999999999987</v>
      </c>
      <c r="D14" s="27">
        <f t="shared" si="0"/>
        <v>62234</v>
      </c>
      <c r="E14" s="35">
        <f t="shared" si="1"/>
        <v>-2.9775000000000107E-2</v>
      </c>
    </row>
    <row r="15" spans="1:5" ht="16" x14ac:dyDescent="0.2">
      <c r="A15" s="16" t="s">
        <v>29</v>
      </c>
      <c r="B15" s="20">
        <v>322319.5</v>
      </c>
      <c r="C15" s="30">
        <f>_xlfn.XLOOKUP(A15,'ENROLLMENT RATE'!$A$2:$A$18,'ENROLLMENT RATE'!$F$2:$F$18)</f>
        <v>0.70530000000000004</v>
      </c>
      <c r="D15" s="27">
        <f t="shared" si="0"/>
        <v>-120246.5</v>
      </c>
      <c r="E15" s="35">
        <f>C15-(MEDIAN($C$2:$C$18))</f>
        <v>-1.3174999999999937E-2</v>
      </c>
    </row>
    <row r="16" spans="1:5" ht="16" x14ac:dyDescent="0.2">
      <c r="A16" s="16" t="s">
        <v>22</v>
      </c>
      <c r="B16" s="20">
        <v>726721</v>
      </c>
      <c r="C16" s="30">
        <f>_xlfn.XLOOKUP(A16,'ENROLLMENT RATE'!$A$2:$A$18,'ENROLLMENT RATE'!$F$2:$F$18)</f>
        <v>0.70209999999999995</v>
      </c>
      <c r="D16" s="27">
        <f t="shared" si="0"/>
        <v>284155</v>
      </c>
      <c r="E16" s="35">
        <f t="shared" si="1"/>
        <v>-1.6375000000000028E-2</v>
      </c>
    </row>
    <row r="17" spans="1:5" ht="16" x14ac:dyDescent="0.2">
      <c r="A17" s="16" t="s">
        <v>20</v>
      </c>
      <c r="B17" s="20">
        <v>491075.5</v>
      </c>
      <c r="C17" s="30">
        <f>_xlfn.XLOOKUP(A17,'ENROLLMENT RATE'!$A$2:$A$18,'ENROLLMENT RATE'!$F$2:$F$18)</f>
        <v>0.66402500000000009</v>
      </c>
      <c r="D17" s="27">
        <f>B17-(MEDIAN($B$2:$B$18))</f>
        <v>48509.5</v>
      </c>
      <c r="E17" s="35">
        <f t="shared" si="1"/>
        <v>-5.4449999999999887E-2</v>
      </c>
    </row>
    <row r="18" spans="1:5" ht="16" x14ac:dyDescent="0.2">
      <c r="A18" s="16" t="s">
        <v>11</v>
      </c>
      <c r="B18" s="20">
        <v>694742</v>
      </c>
      <c r="C18" s="30">
        <f>_xlfn.XLOOKUP(A18,'ENROLLMENT RATE'!$A$2:$A$18,'ENROLLMENT RATE'!$F$2:$F$18)</f>
        <v>0.43057499999999999</v>
      </c>
      <c r="D18" s="27">
        <f t="shared" si="0"/>
        <v>252176</v>
      </c>
      <c r="E18" s="35">
        <f t="shared" si="1"/>
        <v>-0.28789999999999999</v>
      </c>
    </row>
    <row r="20" spans="1:5" x14ac:dyDescent="0.15">
      <c r="C20" s="2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94"/>
  <sheetViews>
    <sheetView workbookViewId="0">
      <selection activeCell="F18" sqref="F18"/>
    </sheetView>
  </sheetViews>
  <sheetFormatPr baseColWidth="10" defaultColWidth="12.6640625" defaultRowHeight="15.75" customHeight="1" x14ac:dyDescent="0.25"/>
  <cols>
    <col min="1" max="1" width="4" style="24" customWidth="1"/>
    <col min="2" max="16384" width="12.6640625" style="24"/>
  </cols>
  <sheetData>
    <row r="1" spans="1:26" ht="19" x14ac:dyDescent="0.25">
      <c r="A1" s="36" t="s">
        <v>37</v>
      </c>
      <c r="B1" s="37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9" x14ac:dyDescent="0.25">
      <c r="A2" s="22"/>
      <c r="B2" s="22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19" x14ac:dyDescent="0.25">
      <c r="A3" s="23"/>
      <c r="B3" s="22" t="s">
        <v>54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9" x14ac:dyDescent="0.25">
      <c r="A4" s="22"/>
      <c r="B4" s="22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19" x14ac:dyDescent="0.25">
      <c r="A5" s="23"/>
      <c r="B5" s="22" t="s">
        <v>43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19" x14ac:dyDescent="0.25">
      <c r="A6" s="22"/>
      <c r="B6" s="22" t="s">
        <v>38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19" x14ac:dyDescent="0.25">
      <c r="A7" s="22"/>
      <c r="B7" s="22" t="s">
        <v>39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9" x14ac:dyDescent="0.25">
      <c r="A8" s="22"/>
      <c r="B8" s="22" t="s">
        <v>40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9" x14ac:dyDescent="0.25">
      <c r="A9" s="22"/>
      <c r="B9" s="22" t="s">
        <v>41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15.75" customHeight="1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15.75" customHeight="1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5.75" customHeight="1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5.75" customHeight="1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5.75" customHeight="1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5.75" customHeight="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5.7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5.75" customHeight="1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5.75" customHeight="1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5.75" customHeight="1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5.75" customHeight="1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5.75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5.75" customHeight="1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5.75" customHeight="1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5.75" customHeight="1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5.75" customHeight="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.75" customHeight="1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75" customHeight="1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.75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.75" customHeight="1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5.75" customHeight="1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5.75" customHeight="1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5.75" customHeight="1" x14ac:dyDescent="0.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.75" customHeight="1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.75" customHeight="1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.75" customHeight="1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.75" customHeight="1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.75" customHeight="1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.75" customHeight="1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.75" customHeight="1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.75" customHeight="1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9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9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9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9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9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9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9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9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9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9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9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9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9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9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9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9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9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9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9" x14ac:dyDescent="0.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9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9" x14ac:dyDescent="0.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9" x14ac:dyDescent="0.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9" x14ac:dyDescent="0.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9" x14ac:dyDescent="0.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9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9" x14ac:dyDescent="0.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9" x14ac:dyDescent="0.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9" x14ac:dyDescent="0.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9" x14ac:dyDescent="0.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9" x14ac:dyDescent="0.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9" x14ac:dyDescent="0.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9" x14ac:dyDescent="0.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9" x14ac:dyDescent="0.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9" x14ac:dyDescent="0.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9" x14ac:dyDescent="0.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9" x14ac:dyDescent="0.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9" x14ac:dyDescent="0.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9" x14ac:dyDescent="0.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9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9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9" x14ac:dyDescent="0.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9" x14ac:dyDescent="0.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9" x14ac:dyDescent="0.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9" x14ac:dyDescent="0.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9" x14ac:dyDescent="0.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9" x14ac:dyDescent="0.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9" x14ac:dyDescent="0.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9" x14ac:dyDescent="0.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9" x14ac:dyDescent="0.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9" x14ac:dyDescent="0.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9" x14ac:dyDescent="0.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9" x14ac:dyDescent="0.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9" x14ac:dyDescent="0.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9" x14ac:dyDescent="0.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9" x14ac:dyDescent="0.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9" x14ac:dyDescent="0.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19" x14ac:dyDescent="0.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19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19" x14ac:dyDescent="0.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19" x14ac:dyDescent="0.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9" x14ac:dyDescent="0.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19" x14ac:dyDescent="0.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19" x14ac:dyDescent="0.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19" x14ac:dyDescent="0.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19" x14ac:dyDescent="0.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19" x14ac:dyDescent="0.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19" x14ac:dyDescent="0.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19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19" x14ac:dyDescent="0.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19" x14ac:dyDescent="0.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19" x14ac:dyDescent="0.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19" x14ac:dyDescent="0.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19" x14ac:dyDescent="0.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19" x14ac:dyDescent="0.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19" x14ac:dyDescent="0.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19" x14ac:dyDescent="0.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19" x14ac:dyDescent="0.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19" x14ac:dyDescent="0.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19" x14ac:dyDescent="0.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19" x14ac:dyDescent="0.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19" x14ac:dyDescent="0.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19" x14ac:dyDescent="0.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19" x14ac:dyDescent="0.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9" x14ac:dyDescent="0.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9" x14ac:dyDescent="0.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19" x14ac:dyDescent="0.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19" x14ac:dyDescent="0.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19" x14ac:dyDescent="0.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19" x14ac:dyDescent="0.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19" x14ac:dyDescent="0.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19" x14ac:dyDescent="0.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19" x14ac:dyDescent="0.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9" x14ac:dyDescent="0.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19" x14ac:dyDescent="0.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19" x14ac:dyDescent="0.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19" x14ac:dyDescent="0.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9" x14ac:dyDescent="0.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19" x14ac:dyDescent="0.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19" x14ac:dyDescent="0.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19" x14ac:dyDescent="0.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19" x14ac:dyDescent="0.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19" x14ac:dyDescent="0.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19" x14ac:dyDescent="0.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19" x14ac:dyDescent="0.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19" x14ac:dyDescent="0.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19" x14ac:dyDescent="0.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19" x14ac:dyDescent="0.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19" x14ac:dyDescent="0.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19" x14ac:dyDescent="0.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19" x14ac:dyDescent="0.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19" x14ac:dyDescent="0.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19" x14ac:dyDescent="0.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19" x14ac:dyDescent="0.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19" x14ac:dyDescent="0.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19" x14ac:dyDescent="0.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19" x14ac:dyDescent="0.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19" x14ac:dyDescent="0.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19" x14ac:dyDescent="0.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19" x14ac:dyDescent="0.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19" x14ac:dyDescent="0.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19" x14ac:dyDescent="0.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19" x14ac:dyDescent="0.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19" x14ac:dyDescent="0.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19" x14ac:dyDescent="0.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19" x14ac:dyDescent="0.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19" x14ac:dyDescent="0.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19" x14ac:dyDescent="0.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19" x14ac:dyDescent="0.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9" x14ac:dyDescent="0.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19" x14ac:dyDescent="0.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19" x14ac:dyDescent="0.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19" x14ac:dyDescent="0.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19" x14ac:dyDescent="0.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19" x14ac:dyDescent="0.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19" x14ac:dyDescent="0.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19" x14ac:dyDescent="0.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19" x14ac:dyDescent="0.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19" x14ac:dyDescent="0.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19" x14ac:dyDescent="0.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19" x14ac:dyDescent="0.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19" x14ac:dyDescent="0.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19" x14ac:dyDescent="0.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19" x14ac:dyDescent="0.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19" x14ac:dyDescent="0.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19" x14ac:dyDescent="0.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19" x14ac:dyDescent="0.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19" x14ac:dyDescent="0.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19" x14ac:dyDescent="0.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19" x14ac:dyDescent="0.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19" x14ac:dyDescent="0.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19" x14ac:dyDescent="0.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19" x14ac:dyDescent="0.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19" x14ac:dyDescent="0.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19" x14ac:dyDescent="0.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19" x14ac:dyDescent="0.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19" x14ac:dyDescent="0.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19" x14ac:dyDescent="0.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19" x14ac:dyDescent="0.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19" x14ac:dyDescent="0.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19" x14ac:dyDescent="0.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19" x14ac:dyDescent="0.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19" x14ac:dyDescent="0.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19" x14ac:dyDescent="0.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19" x14ac:dyDescent="0.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19" x14ac:dyDescent="0.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19" x14ac:dyDescent="0.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19" x14ac:dyDescent="0.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19" x14ac:dyDescent="0.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19" x14ac:dyDescent="0.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19" x14ac:dyDescent="0.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19" x14ac:dyDescent="0.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19" x14ac:dyDescent="0.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19" x14ac:dyDescent="0.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19" x14ac:dyDescent="0.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19" x14ac:dyDescent="0.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19" x14ac:dyDescent="0.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19" x14ac:dyDescent="0.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19" x14ac:dyDescent="0.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19" x14ac:dyDescent="0.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19" x14ac:dyDescent="0.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19" x14ac:dyDescent="0.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19" x14ac:dyDescent="0.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19" x14ac:dyDescent="0.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19" x14ac:dyDescent="0.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9" x14ac:dyDescent="0.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19" x14ac:dyDescent="0.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ht="19" x14ac:dyDescent="0.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ht="19" x14ac:dyDescent="0.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19" x14ac:dyDescent="0.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19" x14ac:dyDescent="0.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ht="19" x14ac:dyDescent="0.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ht="19" x14ac:dyDescent="0.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ht="19" x14ac:dyDescent="0.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ht="19" x14ac:dyDescent="0.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ht="19" x14ac:dyDescent="0.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ht="19" x14ac:dyDescent="0.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19" x14ac:dyDescent="0.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19" x14ac:dyDescent="0.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19" x14ac:dyDescent="0.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19" x14ac:dyDescent="0.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ht="19" x14ac:dyDescent="0.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19" x14ac:dyDescent="0.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19" x14ac:dyDescent="0.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19" x14ac:dyDescent="0.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19" x14ac:dyDescent="0.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19" x14ac:dyDescent="0.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19" x14ac:dyDescent="0.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19" x14ac:dyDescent="0.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19" x14ac:dyDescent="0.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19" x14ac:dyDescent="0.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19" x14ac:dyDescent="0.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19" x14ac:dyDescent="0.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19" x14ac:dyDescent="0.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19" x14ac:dyDescent="0.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19" x14ac:dyDescent="0.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19" x14ac:dyDescent="0.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19" x14ac:dyDescent="0.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19" x14ac:dyDescent="0.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19" x14ac:dyDescent="0.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ht="19" x14ac:dyDescent="0.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19" x14ac:dyDescent="0.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19" x14ac:dyDescent="0.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19" x14ac:dyDescent="0.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ht="19" x14ac:dyDescent="0.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ht="19" x14ac:dyDescent="0.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19" x14ac:dyDescent="0.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ht="19" x14ac:dyDescent="0.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ht="19" x14ac:dyDescent="0.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ht="19" x14ac:dyDescent="0.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ht="19" x14ac:dyDescent="0.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ht="19" x14ac:dyDescent="0.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ht="19" x14ac:dyDescent="0.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19" x14ac:dyDescent="0.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19" x14ac:dyDescent="0.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ht="19" x14ac:dyDescent="0.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19" x14ac:dyDescent="0.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19" x14ac:dyDescent="0.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ht="19" x14ac:dyDescent="0.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19" x14ac:dyDescent="0.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ht="19" x14ac:dyDescent="0.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19" x14ac:dyDescent="0.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ht="19" x14ac:dyDescent="0.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19" x14ac:dyDescent="0.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19" x14ac:dyDescent="0.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19" x14ac:dyDescent="0.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ht="19" x14ac:dyDescent="0.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ht="19" x14ac:dyDescent="0.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ht="19" x14ac:dyDescent="0.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ht="19" x14ac:dyDescent="0.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ht="19" x14ac:dyDescent="0.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19" x14ac:dyDescent="0.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ht="19" x14ac:dyDescent="0.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ht="19" x14ac:dyDescent="0.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19" x14ac:dyDescent="0.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ht="19" x14ac:dyDescent="0.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ht="19" x14ac:dyDescent="0.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19" x14ac:dyDescent="0.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ht="19" x14ac:dyDescent="0.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ht="19" x14ac:dyDescent="0.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ht="19" x14ac:dyDescent="0.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ht="19" x14ac:dyDescent="0.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19" x14ac:dyDescent="0.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ht="19" x14ac:dyDescent="0.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ht="19" x14ac:dyDescent="0.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ht="19" x14ac:dyDescent="0.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ht="19" x14ac:dyDescent="0.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ht="19" x14ac:dyDescent="0.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ht="19" x14ac:dyDescent="0.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ht="19" x14ac:dyDescent="0.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ht="19" x14ac:dyDescent="0.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ht="19" x14ac:dyDescent="0.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19" x14ac:dyDescent="0.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ht="19" x14ac:dyDescent="0.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19" x14ac:dyDescent="0.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19" x14ac:dyDescent="0.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ht="19" x14ac:dyDescent="0.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ht="19" x14ac:dyDescent="0.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19" x14ac:dyDescent="0.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ht="19" x14ac:dyDescent="0.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ht="19" x14ac:dyDescent="0.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19" x14ac:dyDescent="0.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ht="19" x14ac:dyDescent="0.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ht="19" x14ac:dyDescent="0.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ht="19" x14ac:dyDescent="0.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ht="19" x14ac:dyDescent="0.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ht="19" x14ac:dyDescent="0.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ht="19" x14ac:dyDescent="0.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ht="19" x14ac:dyDescent="0.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ht="19" x14ac:dyDescent="0.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19" x14ac:dyDescent="0.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19" x14ac:dyDescent="0.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ht="19" x14ac:dyDescent="0.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ht="19" x14ac:dyDescent="0.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19" x14ac:dyDescent="0.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ht="19" x14ac:dyDescent="0.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ht="19" x14ac:dyDescent="0.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ht="19" x14ac:dyDescent="0.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ht="19" x14ac:dyDescent="0.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ht="19" x14ac:dyDescent="0.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ht="19" x14ac:dyDescent="0.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ht="19" x14ac:dyDescent="0.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ht="19" x14ac:dyDescent="0.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ht="19" x14ac:dyDescent="0.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ht="19" x14ac:dyDescent="0.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ht="19" x14ac:dyDescent="0.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ht="19" x14ac:dyDescent="0.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ht="19" x14ac:dyDescent="0.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ht="19" x14ac:dyDescent="0.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ht="19" x14ac:dyDescent="0.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ht="19" x14ac:dyDescent="0.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ht="19" x14ac:dyDescent="0.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ht="19" x14ac:dyDescent="0.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ht="19" x14ac:dyDescent="0.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ht="19" x14ac:dyDescent="0.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ht="19" x14ac:dyDescent="0.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ht="19" x14ac:dyDescent="0.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ht="19" x14ac:dyDescent="0.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ht="19" x14ac:dyDescent="0.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ht="19" x14ac:dyDescent="0.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19" x14ac:dyDescent="0.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ht="19" x14ac:dyDescent="0.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ht="19" x14ac:dyDescent="0.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ht="19" x14ac:dyDescent="0.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ht="19" x14ac:dyDescent="0.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ht="19" x14ac:dyDescent="0.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ht="19" x14ac:dyDescent="0.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ht="19" x14ac:dyDescent="0.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19" x14ac:dyDescent="0.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ht="19" x14ac:dyDescent="0.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ht="19" x14ac:dyDescent="0.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ht="19" x14ac:dyDescent="0.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ht="19" x14ac:dyDescent="0.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ht="19" x14ac:dyDescent="0.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ht="19" x14ac:dyDescent="0.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ht="19" x14ac:dyDescent="0.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ht="19" x14ac:dyDescent="0.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ht="19" x14ac:dyDescent="0.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ht="19" x14ac:dyDescent="0.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ht="19" x14ac:dyDescent="0.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ht="19" x14ac:dyDescent="0.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ht="19" x14ac:dyDescent="0.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ht="19" x14ac:dyDescent="0.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ht="19" x14ac:dyDescent="0.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ht="19" x14ac:dyDescent="0.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ht="19" x14ac:dyDescent="0.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ht="19" x14ac:dyDescent="0.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ht="19" x14ac:dyDescent="0.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ht="19" x14ac:dyDescent="0.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ht="19" x14ac:dyDescent="0.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ht="19" x14ac:dyDescent="0.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ht="19" x14ac:dyDescent="0.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ht="19" x14ac:dyDescent="0.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ht="19" x14ac:dyDescent="0.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ht="19" x14ac:dyDescent="0.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ht="19" x14ac:dyDescent="0.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ht="19" x14ac:dyDescent="0.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ht="19" x14ac:dyDescent="0.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ht="19" x14ac:dyDescent="0.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19" x14ac:dyDescent="0.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19" x14ac:dyDescent="0.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19" x14ac:dyDescent="0.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19" x14ac:dyDescent="0.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19" x14ac:dyDescent="0.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19" x14ac:dyDescent="0.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19" x14ac:dyDescent="0.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19" x14ac:dyDescent="0.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19" x14ac:dyDescent="0.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ht="19" x14ac:dyDescent="0.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ht="19" x14ac:dyDescent="0.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ht="19" x14ac:dyDescent="0.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ht="19" x14ac:dyDescent="0.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ht="19" x14ac:dyDescent="0.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ht="19" x14ac:dyDescent="0.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ht="19" x14ac:dyDescent="0.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ht="19" x14ac:dyDescent="0.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ht="19" x14ac:dyDescent="0.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ht="19" x14ac:dyDescent="0.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ht="19" x14ac:dyDescent="0.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ht="19" x14ac:dyDescent="0.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ht="19" x14ac:dyDescent="0.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ht="19" x14ac:dyDescent="0.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ht="19" x14ac:dyDescent="0.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ht="19" x14ac:dyDescent="0.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ht="19" x14ac:dyDescent="0.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ht="19" x14ac:dyDescent="0.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ht="19" x14ac:dyDescent="0.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ht="19" x14ac:dyDescent="0.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ht="19" x14ac:dyDescent="0.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ht="19" x14ac:dyDescent="0.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ht="19" x14ac:dyDescent="0.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ht="19" x14ac:dyDescent="0.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ht="19" x14ac:dyDescent="0.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ht="19" x14ac:dyDescent="0.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ht="19" x14ac:dyDescent="0.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ht="19" x14ac:dyDescent="0.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ht="19" x14ac:dyDescent="0.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ht="19" x14ac:dyDescent="0.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ht="19" x14ac:dyDescent="0.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ht="19" x14ac:dyDescent="0.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ht="19" x14ac:dyDescent="0.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ht="19" x14ac:dyDescent="0.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ht="19" x14ac:dyDescent="0.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ht="19" x14ac:dyDescent="0.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ht="19" x14ac:dyDescent="0.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ht="19" x14ac:dyDescent="0.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ht="19" x14ac:dyDescent="0.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ht="19" x14ac:dyDescent="0.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ht="19" x14ac:dyDescent="0.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ht="19" x14ac:dyDescent="0.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ht="19" x14ac:dyDescent="0.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ht="19" x14ac:dyDescent="0.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ht="19" x14ac:dyDescent="0.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ht="19" x14ac:dyDescent="0.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ht="19" x14ac:dyDescent="0.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ht="19" x14ac:dyDescent="0.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ht="19" x14ac:dyDescent="0.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ht="19" x14ac:dyDescent="0.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ht="19" x14ac:dyDescent="0.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ht="19" x14ac:dyDescent="0.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ht="19" x14ac:dyDescent="0.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ht="19" x14ac:dyDescent="0.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ht="19" x14ac:dyDescent="0.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ht="19" x14ac:dyDescent="0.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ht="19" x14ac:dyDescent="0.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ht="19" x14ac:dyDescent="0.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ht="19" x14ac:dyDescent="0.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ht="19" x14ac:dyDescent="0.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ht="19" x14ac:dyDescent="0.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ht="19" x14ac:dyDescent="0.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ht="19" x14ac:dyDescent="0.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ht="19" x14ac:dyDescent="0.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ht="19" x14ac:dyDescent="0.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ht="19" x14ac:dyDescent="0.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ht="19" x14ac:dyDescent="0.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ht="19" x14ac:dyDescent="0.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ht="19" x14ac:dyDescent="0.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ht="19" x14ac:dyDescent="0.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ht="19" x14ac:dyDescent="0.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ht="19" x14ac:dyDescent="0.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ht="19" x14ac:dyDescent="0.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ht="19" x14ac:dyDescent="0.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ht="19" x14ac:dyDescent="0.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ht="19" x14ac:dyDescent="0.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ht="19" x14ac:dyDescent="0.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19" x14ac:dyDescent="0.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19" x14ac:dyDescent="0.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19" x14ac:dyDescent="0.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19" x14ac:dyDescent="0.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19" x14ac:dyDescent="0.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19" x14ac:dyDescent="0.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19" x14ac:dyDescent="0.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19" x14ac:dyDescent="0.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19" x14ac:dyDescent="0.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19" x14ac:dyDescent="0.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19" x14ac:dyDescent="0.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ht="19" x14ac:dyDescent="0.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ht="19" x14ac:dyDescent="0.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ht="19" x14ac:dyDescent="0.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ht="19" x14ac:dyDescent="0.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ht="19" x14ac:dyDescent="0.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ht="19" x14ac:dyDescent="0.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ht="19" x14ac:dyDescent="0.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ht="19" x14ac:dyDescent="0.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ht="19" x14ac:dyDescent="0.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ht="19" x14ac:dyDescent="0.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ht="19" x14ac:dyDescent="0.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ht="19" x14ac:dyDescent="0.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ht="19" x14ac:dyDescent="0.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ht="19" x14ac:dyDescent="0.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ht="19" x14ac:dyDescent="0.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ht="19" x14ac:dyDescent="0.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ht="19" x14ac:dyDescent="0.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ht="19" x14ac:dyDescent="0.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ht="19" x14ac:dyDescent="0.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ht="19" x14ac:dyDescent="0.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ht="19" x14ac:dyDescent="0.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ht="19" x14ac:dyDescent="0.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ht="19" x14ac:dyDescent="0.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ht="19" x14ac:dyDescent="0.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ht="19" x14ac:dyDescent="0.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ht="19" x14ac:dyDescent="0.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ht="19" x14ac:dyDescent="0.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ht="19" x14ac:dyDescent="0.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ht="19" x14ac:dyDescent="0.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ht="19" x14ac:dyDescent="0.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ht="19" x14ac:dyDescent="0.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ht="19" x14ac:dyDescent="0.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ht="19" x14ac:dyDescent="0.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ht="19" x14ac:dyDescent="0.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ht="19" x14ac:dyDescent="0.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ht="19" x14ac:dyDescent="0.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ht="19" x14ac:dyDescent="0.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ht="19" x14ac:dyDescent="0.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ht="19" x14ac:dyDescent="0.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ht="19" x14ac:dyDescent="0.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ht="19" x14ac:dyDescent="0.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ht="19" x14ac:dyDescent="0.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ht="19" x14ac:dyDescent="0.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ht="19" x14ac:dyDescent="0.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ht="19" x14ac:dyDescent="0.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ht="19" x14ac:dyDescent="0.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ht="19" x14ac:dyDescent="0.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ht="19" x14ac:dyDescent="0.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ht="19" x14ac:dyDescent="0.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ht="19" x14ac:dyDescent="0.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ht="19" x14ac:dyDescent="0.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ht="19" x14ac:dyDescent="0.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ht="19" x14ac:dyDescent="0.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ht="19" x14ac:dyDescent="0.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ht="19" x14ac:dyDescent="0.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ht="19" x14ac:dyDescent="0.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ht="19" x14ac:dyDescent="0.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ht="19" x14ac:dyDescent="0.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ht="19" x14ac:dyDescent="0.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ht="19" x14ac:dyDescent="0.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ht="19" x14ac:dyDescent="0.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ht="19" x14ac:dyDescent="0.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ht="19" x14ac:dyDescent="0.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ht="19" x14ac:dyDescent="0.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ht="19" x14ac:dyDescent="0.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ht="19" x14ac:dyDescent="0.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ht="19" x14ac:dyDescent="0.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ht="19" x14ac:dyDescent="0.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ht="19" x14ac:dyDescent="0.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ht="19" x14ac:dyDescent="0.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ht="19" x14ac:dyDescent="0.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ht="19" x14ac:dyDescent="0.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ht="19" x14ac:dyDescent="0.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ht="19" x14ac:dyDescent="0.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ht="19" x14ac:dyDescent="0.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ht="19" x14ac:dyDescent="0.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ht="19" x14ac:dyDescent="0.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ht="19" x14ac:dyDescent="0.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ht="19" x14ac:dyDescent="0.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ht="19" x14ac:dyDescent="0.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ht="19" x14ac:dyDescent="0.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ht="19" x14ac:dyDescent="0.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ht="19" x14ac:dyDescent="0.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ht="19" x14ac:dyDescent="0.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ht="19" x14ac:dyDescent="0.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ht="19" x14ac:dyDescent="0.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ht="19" x14ac:dyDescent="0.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ht="19" x14ac:dyDescent="0.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ht="19" x14ac:dyDescent="0.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ht="19" x14ac:dyDescent="0.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ht="19" x14ac:dyDescent="0.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ht="19" x14ac:dyDescent="0.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ht="19" x14ac:dyDescent="0.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ht="19" x14ac:dyDescent="0.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ht="19" x14ac:dyDescent="0.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ht="19" x14ac:dyDescent="0.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ht="19" x14ac:dyDescent="0.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ht="19" x14ac:dyDescent="0.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ht="19" x14ac:dyDescent="0.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ht="19" x14ac:dyDescent="0.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ht="19" x14ac:dyDescent="0.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ht="19" x14ac:dyDescent="0.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ht="19" x14ac:dyDescent="0.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ht="19" x14ac:dyDescent="0.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ht="19" x14ac:dyDescent="0.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ht="19" x14ac:dyDescent="0.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ht="19" x14ac:dyDescent="0.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ht="19" x14ac:dyDescent="0.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ht="19" x14ac:dyDescent="0.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ht="19" x14ac:dyDescent="0.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ht="19" x14ac:dyDescent="0.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ht="19" x14ac:dyDescent="0.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ht="19" x14ac:dyDescent="0.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ht="19" x14ac:dyDescent="0.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ht="19" x14ac:dyDescent="0.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ht="19" x14ac:dyDescent="0.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ht="19" x14ac:dyDescent="0.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ht="19" x14ac:dyDescent="0.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ht="19" x14ac:dyDescent="0.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ht="19" x14ac:dyDescent="0.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ht="19" x14ac:dyDescent="0.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ht="19" x14ac:dyDescent="0.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ht="19" x14ac:dyDescent="0.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ht="19" x14ac:dyDescent="0.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ht="19" x14ac:dyDescent="0.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ht="19" x14ac:dyDescent="0.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ht="19" x14ac:dyDescent="0.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ht="19" x14ac:dyDescent="0.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ht="19" x14ac:dyDescent="0.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ht="19" x14ac:dyDescent="0.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ht="19" x14ac:dyDescent="0.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ht="19" x14ac:dyDescent="0.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ht="19" x14ac:dyDescent="0.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ht="19" x14ac:dyDescent="0.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ht="19" x14ac:dyDescent="0.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ht="19" x14ac:dyDescent="0.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ht="19" x14ac:dyDescent="0.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ht="19" x14ac:dyDescent="0.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ht="19" x14ac:dyDescent="0.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ht="19" x14ac:dyDescent="0.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ht="19" x14ac:dyDescent="0.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ht="19" x14ac:dyDescent="0.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ht="19" x14ac:dyDescent="0.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ht="19" x14ac:dyDescent="0.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ht="19" x14ac:dyDescent="0.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ht="19" x14ac:dyDescent="0.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ht="19" x14ac:dyDescent="0.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ht="19" x14ac:dyDescent="0.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ht="19" x14ac:dyDescent="0.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ht="19" x14ac:dyDescent="0.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ht="19" x14ac:dyDescent="0.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ht="19" x14ac:dyDescent="0.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ht="19" x14ac:dyDescent="0.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ht="19" x14ac:dyDescent="0.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ht="19" x14ac:dyDescent="0.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ht="19" x14ac:dyDescent="0.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ht="19" x14ac:dyDescent="0.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ht="19" x14ac:dyDescent="0.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ht="19" x14ac:dyDescent="0.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ht="19" x14ac:dyDescent="0.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ht="19" x14ac:dyDescent="0.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ht="19" x14ac:dyDescent="0.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ht="19" x14ac:dyDescent="0.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ht="19" x14ac:dyDescent="0.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ht="19" x14ac:dyDescent="0.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ht="19" x14ac:dyDescent="0.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ht="19" x14ac:dyDescent="0.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ht="19" x14ac:dyDescent="0.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ht="19" x14ac:dyDescent="0.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ht="19" x14ac:dyDescent="0.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ht="19" x14ac:dyDescent="0.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ht="19" x14ac:dyDescent="0.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ht="19" x14ac:dyDescent="0.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ht="19" x14ac:dyDescent="0.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ht="19" x14ac:dyDescent="0.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ht="19" x14ac:dyDescent="0.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ht="19" x14ac:dyDescent="0.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ht="19" x14ac:dyDescent="0.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ht="19" x14ac:dyDescent="0.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ht="19" x14ac:dyDescent="0.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ht="19" x14ac:dyDescent="0.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ht="19" x14ac:dyDescent="0.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ht="19" x14ac:dyDescent="0.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ht="19" x14ac:dyDescent="0.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ht="19" x14ac:dyDescent="0.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ht="19" x14ac:dyDescent="0.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ht="19" x14ac:dyDescent="0.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ht="19" x14ac:dyDescent="0.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ht="19" x14ac:dyDescent="0.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ht="19" x14ac:dyDescent="0.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ht="19" x14ac:dyDescent="0.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ht="19" x14ac:dyDescent="0.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ht="19" x14ac:dyDescent="0.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ht="19" x14ac:dyDescent="0.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ht="19" x14ac:dyDescent="0.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ht="19" x14ac:dyDescent="0.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ht="19" x14ac:dyDescent="0.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ht="19" x14ac:dyDescent="0.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ht="19" x14ac:dyDescent="0.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ht="19" x14ac:dyDescent="0.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ht="19" x14ac:dyDescent="0.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ht="19" x14ac:dyDescent="0.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ht="19" x14ac:dyDescent="0.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ht="19" x14ac:dyDescent="0.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ht="19" x14ac:dyDescent="0.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ht="19" x14ac:dyDescent="0.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ht="19" x14ac:dyDescent="0.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ht="19" x14ac:dyDescent="0.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ht="19" x14ac:dyDescent="0.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ht="19" x14ac:dyDescent="0.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ht="19" x14ac:dyDescent="0.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ht="19" x14ac:dyDescent="0.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ht="19" x14ac:dyDescent="0.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ht="19" x14ac:dyDescent="0.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ht="19" x14ac:dyDescent="0.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ht="19" x14ac:dyDescent="0.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ht="19" x14ac:dyDescent="0.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ht="19" x14ac:dyDescent="0.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ht="19" x14ac:dyDescent="0.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ht="19" x14ac:dyDescent="0.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ht="19" x14ac:dyDescent="0.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ht="19" x14ac:dyDescent="0.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ht="19" x14ac:dyDescent="0.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ht="19" x14ac:dyDescent="0.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ht="19" x14ac:dyDescent="0.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ht="19" x14ac:dyDescent="0.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ht="19" x14ac:dyDescent="0.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ht="19" x14ac:dyDescent="0.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ht="19" x14ac:dyDescent="0.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ht="19" x14ac:dyDescent="0.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ht="19" x14ac:dyDescent="0.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ht="19" x14ac:dyDescent="0.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ht="19" x14ac:dyDescent="0.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ht="19" x14ac:dyDescent="0.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ht="19" x14ac:dyDescent="0.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ht="19" x14ac:dyDescent="0.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ht="19" x14ac:dyDescent="0.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ht="19" x14ac:dyDescent="0.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ht="19" x14ac:dyDescent="0.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ht="19" x14ac:dyDescent="0.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ht="19" x14ac:dyDescent="0.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ht="19" x14ac:dyDescent="0.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ht="19" x14ac:dyDescent="0.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ht="19" x14ac:dyDescent="0.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ht="19" x14ac:dyDescent="0.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ht="19" x14ac:dyDescent="0.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ht="19" x14ac:dyDescent="0.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ht="19" x14ac:dyDescent="0.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ht="19" x14ac:dyDescent="0.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ht="19" x14ac:dyDescent="0.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ht="19" x14ac:dyDescent="0.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ht="19" x14ac:dyDescent="0.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ht="19" x14ac:dyDescent="0.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ht="19" x14ac:dyDescent="0.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ht="19" x14ac:dyDescent="0.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ht="19" x14ac:dyDescent="0.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ht="19" x14ac:dyDescent="0.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ht="19" x14ac:dyDescent="0.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ht="19" x14ac:dyDescent="0.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ht="19" x14ac:dyDescent="0.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ht="19" x14ac:dyDescent="0.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ht="19" x14ac:dyDescent="0.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ht="19" x14ac:dyDescent="0.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ht="19" x14ac:dyDescent="0.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ht="19" x14ac:dyDescent="0.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ht="19" x14ac:dyDescent="0.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ht="19" x14ac:dyDescent="0.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ht="19" x14ac:dyDescent="0.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ht="19" x14ac:dyDescent="0.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ht="19" x14ac:dyDescent="0.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ht="19" x14ac:dyDescent="0.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ht="19" x14ac:dyDescent="0.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ht="19" x14ac:dyDescent="0.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ht="19" x14ac:dyDescent="0.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ht="19" x14ac:dyDescent="0.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ht="19" x14ac:dyDescent="0.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ht="19" x14ac:dyDescent="0.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ht="19" x14ac:dyDescent="0.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ht="19" x14ac:dyDescent="0.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ht="19" x14ac:dyDescent="0.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ht="19" x14ac:dyDescent="0.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ht="19" x14ac:dyDescent="0.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ht="19" x14ac:dyDescent="0.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ht="19" x14ac:dyDescent="0.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ht="19" x14ac:dyDescent="0.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ht="19" x14ac:dyDescent="0.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ht="19" x14ac:dyDescent="0.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ht="19" x14ac:dyDescent="0.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ht="19" x14ac:dyDescent="0.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ht="19" x14ac:dyDescent="0.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ht="19" x14ac:dyDescent="0.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ht="19" x14ac:dyDescent="0.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ht="19" x14ac:dyDescent="0.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ht="19" x14ac:dyDescent="0.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ht="19" x14ac:dyDescent="0.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ht="19" x14ac:dyDescent="0.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ht="19" x14ac:dyDescent="0.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ht="19" x14ac:dyDescent="0.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ht="19" x14ac:dyDescent="0.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ht="19" x14ac:dyDescent="0.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ht="19" x14ac:dyDescent="0.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ht="19" x14ac:dyDescent="0.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ht="19" x14ac:dyDescent="0.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ht="19" x14ac:dyDescent="0.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ht="19" x14ac:dyDescent="0.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ht="19" x14ac:dyDescent="0.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ht="19" x14ac:dyDescent="0.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ht="19" x14ac:dyDescent="0.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ht="19" x14ac:dyDescent="0.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ht="19" x14ac:dyDescent="0.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ht="19" x14ac:dyDescent="0.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ht="19" x14ac:dyDescent="0.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ht="19" x14ac:dyDescent="0.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ht="19" x14ac:dyDescent="0.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ht="19" x14ac:dyDescent="0.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ht="19" x14ac:dyDescent="0.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ht="19" x14ac:dyDescent="0.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ht="19" x14ac:dyDescent="0.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ht="19" x14ac:dyDescent="0.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ht="19" x14ac:dyDescent="0.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ht="19" x14ac:dyDescent="0.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ht="19" x14ac:dyDescent="0.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ht="19" x14ac:dyDescent="0.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ht="19" x14ac:dyDescent="0.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ht="19" x14ac:dyDescent="0.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ht="19" x14ac:dyDescent="0.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ht="19" x14ac:dyDescent="0.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ht="19" x14ac:dyDescent="0.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ht="19" x14ac:dyDescent="0.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ht="19" x14ac:dyDescent="0.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ht="19" x14ac:dyDescent="0.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ht="19" x14ac:dyDescent="0.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ht="19" x14ac:dyDescent="0.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ht="19" x14ac:dyDescent="0.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ht="19" x14ac:dyDescent="0.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ht="19" x14ac:dyDescent="0.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ht="19" x14ac:dyDescent="0.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ht="19" x14ac:dyDescent="0.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ht="19" x14ac:dyDescent="0.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ht="19" x14ac:dyDescent="0.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ht="19" x14ac:dyDescent="0.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ht="19" x14ac:dyDescent="0.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ht="19" x14ac:dyDescent="0.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ht="19" x14ac:dyDescent="0.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ht="19" x14ac:dyDescent="0.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ht="19" x14ac:dyDescent="0.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ht="19" x14ac:dyDescent="0.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ht="19" x14ac:dyDescent="0.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ht="19" x14ac:dyDescent="0.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ht="19" x14ac:dyDescent="0.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ht="19" x14ac:dyDescent="0.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ht="19" x14ac:dyDescent="0.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ht="19" x14ac:dyDescent="0.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ht="19" x14ac:dyDescent="0.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ht="19" x14ac:dyDescent="0.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ht="19" x14ac:dyDescent="0.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ht="19" x14ac:dyDescent="0.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ht="19" x14ac:dyDescent="0.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ht="19" x14ac:dyDescent="0.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ht="19" x14ac:dyDescent="0.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ht="19" x14ac:dyDescent="0.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ht="19" x14ac:dyDescent="0.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ht="19" x14ac:dyDescent="0.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ht="19" x14ac:dyDescent="0.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ht="19" x14ac:dyDescent="0.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ht="19" x14ac:dyDescent="0.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ht="19" x14ac:dyDescent="0.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ht="19" x14ac:dyDescent="0.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ht="19" x14ac:dyDescent="0.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ht="19" x14ac:dyDescent="0.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ht="19" x14ac:dyDescent="0.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ht="19" x14ac:dyDescent="0.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ht="19" x14ac:dyDescent="0.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ht="19" x14ac:dyDescent="0.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ht="19" x14ac:dyDescent="0.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ht="19" x14ac:dyDescent="0.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ht="19" x14ac:dyDescent="0.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ht="19" x14ac:dyDescent="0.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ht="19" x14ac:dyDescent="0.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ht="19" x14ac:dyDescent="0.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ht="19" x14ac:dyDescent="0.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ht="19" x14ac:dyDescent="0.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ht="19" x14ac:dyDescent="0.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ht="19" x14ac:dyDescent="0.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ht="19" x14ac:dyDescent="0.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ht="19" x14ac:dyDescent="0.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ht="19" x14ac:dyDescent="0.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ht="19" x14ac:dyDescent="0.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ht="19" x14ac:dyDescent="0.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ht="19" x14ac:dyDescent="0.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ht="19" x14ac:dyDescent="0.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ht="19" x14ac:dyDescent="0.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ht="19" x14ac:dyDescent="0.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ht="19" x14ac:dyDescent="0.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ht="19" x14ac:dyDescent="0.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ht="19" x14ac:dyDescent="0.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ht="19" x14ac:dyDescent="0.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ht="19" x14ac:dyDescent="0.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ht="19" x14ac:dyDescent="0.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ht="19" x14ac:dyDescent="0.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ht="19" x14ac:dyDescent="0.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ht="19" x14ac:dyDescent="0.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ht="19" x14ac:dyDescent="0.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ht="19" x14ac:dyDescent="0.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ht="19" x14ac:dyDescent="0.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ht="19" x14ac:dyDescent="0.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ht="19" x14ac:dyDescent="0.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ht="19" x14ac:dyDescent="0.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ht="19" x14ac:dyDescent="0.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ht="19" x14ac:dyDescent="0.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ht="19" x14ac:dyDescent="0.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ht="19" x14ac:dyDescent="0.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ht="19" x14ac:dyDescent="0.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ht="19" x14ac:dyDescent="0.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ht="19" x14ac:dyDescent="0.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ht="19" x14ac:dyDescent="0.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ht="19" x14ac:dyDescent="0.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ht="19" x14ac:dyDescent="0.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ht="19" x14ac:dyDescent="0.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ht="19" x14ac:dyDescent="0.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ht="19" x14ac:dyDescent="0.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ht="19" x14ac:dyDescent="0.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ht="19" x14ac:dyDescent="0.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ht="19" x14ac:dyDescent="0.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ht="19" x14ac:dyDescent="0.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ht="19" x14ac:dyDescent="0.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ht="19" x14ac:dyDescent="0.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ht="19" x14ac:dyDescent="0.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ht="19" x14ac:dyDescent="0.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ht="19" x14ac:dyDescent="0.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ht="19" x14ac:dyDescent="0.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ht="19" x14ac:dyDescent="0.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ht="19" x14ac:dyDescent="0.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ht="19" x14ac:dyDescent="0.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ht="19" x14ac:dyDescent="0.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ht="19" x14ac:dyDescent="0.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ht="19" x14ac:dyDescent="0.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ht="19" x14ac:dyDescent="0.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ht="19" x14ac:dyDescent="0.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ht="19" x14ac:dyDescent="0.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ht="19" x14ac:dyDescent="0.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ht="19" x14ac:dyDescent="0.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ht="19" x14ac:dyDescent="0.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ht="19" x14ac:dyDescent="0.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ht="19" x14ac:dyDescent="0.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ht="19" x14ac:dyDescent="0.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ht="19" x14ac:dyDescent="0.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ht="19" x14ac:dyDescent="0.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ht="19" x14ac:dyDescent="0.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ht="19" x14ac:dyDescent="0.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ht="19" x14ac:dyDescent="0.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ht="19" x14ac:dyDescent="0.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ht="19" x14ac:dyDescent="0.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ht="19" x14ac:dyDescent="0.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ht="19" x14ac:dyDescent="0.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ht="19" x14ac:dyDescent="0.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ht="19" x14ac:dyDescent="0.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ht="19" x14ac:dyDescent="0.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ht="19" x14ac:dyDescent="0.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ht="19" x14ac:dyDescent="0.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ht="19" x14ac:dyDescent="0.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ht="19" x14ac:dyDescent="0.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ht="19" x14ac:dyDescent="0.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ht="19" x14ac:dyDescent="0.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ht="19" x14ac:dyDescent="0.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ht="19" x14ac:dyDescent="0.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ht="19" x14ac:dyDescent="0.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ht="19" x14ac:dyDescent="0.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ht="19" x14ac:dyDescent="0.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ht="19" x14ac:dyDescent="0.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ht="19" x14ac:dyDescent="0.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ht="19" x14ac:dyDescent="0.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ht="19" x14ac:dyDescent="0.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ht="19" x14ac:dyDescent="0.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ht="19" x14ac:dyDescent="0.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ht="19" x14ac:dyDescent="0.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ht="19" x14ac:dyDescent="0.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ht="19" x14ac:dyDescent="0.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ht="19" x14ac:dyDescent="0.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ht="19" x14ac:dyDescent="0.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ht="19" x14ac:dyDescent="0.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ht="19" x14ac:dyDescent="0.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ht="19" x14ac:dyDescent="0.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ht="19" x14ac:dyDescent="0.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ht="19" x14ac:dyDescent="0.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ht="19" x14ac:dyDescent="0.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ht="19" x14ac:dyDescent="0.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ht="19" x14ac:dyDescent="0.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ht="19" x14ac:dyDescent="0.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ht="19" x14ac:dyDescent="0.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ht="19" x14ac:dyDescent="0.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ht="19" x14ac:dyDescent="0.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ht="19" x14ac:dyDescent="0.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ht="19" x14ac:dyDescent="0.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ht="19" x14ac:dyDescent="0.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ht="19" x14ac:dyDescent="0.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ht="19" x14ac:dyDescent="0.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ht="19" x14ac:dyDescent="0.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ht="19" x14ac:dyDescent="0.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4Ps Children Count</vt:lpstr>
      <vt:lpstr>ENROLLMENT RATE</vt:lpstr>
      <vt:lpstr>Matrix Chart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Earl Spencer Aynera</cp:lastModifiedBy>
  <dcterms:created xsi:type="dcterms:W3CDTF">2025-11-04T11:35:45Z</dcterms:created>
  <dcterms:modified xsi:type="dcterms:W3CDTF">2025-11-17T03:06:20Z</dcterms:modified>
</cp:coreProperties>
</file>