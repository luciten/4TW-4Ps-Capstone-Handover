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icar G. Lara\Dropbox\PC\Desktop\FTW Data Analytics\Capstone\Final\"/>
    </mc:Choice>
  </mc:AlternateContent>
  <xr:revisionPtr revIDLastSave="0" documentId="13_ncr:1_{39678D7C-C847-4A85-810D-9340233E8BD5}" xr6:coauthVersionLast="47" xr6:coauthVersionMax="47" xr10:uidLastSave="{00000000-0000-0000-0000-000000000000}"/>
  <bookViews>
    <workbookView xWindow="-103" yWindow="-103" windowWidth="19543" windowHeight="12377" tabRatio="500" xr2:uid="{00000000-000D-0000-FFFF-FFFF00000000}"/>
  </bookViews>
  <sheets>
    <sheet name="fact_immunization_2022_20251110" sheetId="1" r:id="rId1"/>
    <sheet name="Chart" sheetId="3" r:id="rId2"/>
    <sheet name="Matrix" sheetId="4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D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O2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</calcChain>
</file>

<file path=xl/sharedStrings.xml><?xml version="1.0" encoding="utf-8"?>
<sst xmlns="http://schemas.openxmlformats.org/spreadsheetml/2006/main" count="108" uniqueCount="41">
  <si>
    <t>Region</t>
  </si>
  <si>
    <t>Island</t>
  </si>
  <si>
    <t>Year</t>
  </si>
  <si>
    <t>Children_under5_count</t>
  </si>
  <si>
    <t>HealthCard_count</t>
  </si>
  <si>
    <t>HepB_count</t>
  </si>
  <si>
    <t>Pentavalent1_count</t>
  </si>
  <si>
    <t>Pentavalent2_count</t>
  </si>
  <si>
    <t>Pentavalent3_count</t>
  </si>
  <si>
    <t>Pneu1_count</t>
  </si>
  <si>
    <t>Pneu2_count</t>
  </si>
  <si>
    <t>Pneu3_count</t>
  </si>
  <si>
    <t>Measles2_count</t>
  </si>
  <si>
    <t>I</t>
  </si>
  <si>
    <t>Luzon</t>
  </si>
  <si>
    <t>II</t>
  </si>
  <si>
    <t>III</t>
  </si>
  <si>
    <t>IV-A</t>
  </si>
  <si>
    <t>IV-B</t>
  </si>
  <si>
    <t>V</t>
  </si>
  <si>
    <t>VI</t>
  </si>
  <si>
    <t>Visayas</t>
  </si>
  <si>
    <t>VII</t>
  </si>
  <si>
    <t>VIII</t>
  </si>
  <si>
    <t>IX</t>
  </si>
  <si>
    <t>Mindanao</t>
  </si>
  <si>
    <t>X</t>
  </si>
  <si>
    <t>XI</t>
  </si>
  <si>
    <t>XII</t>
  </si>
  <si>
    <t>XIII</t>
  </si>
  <si>
    <t>NCR</t>
  </si>
  <si>
    <t>CAR</t>
  </si>
  <si>
    <t>BARMM</t>
  </si>
  <si>
    <t>Average Immunization</t>
  </si>
  <si>
    <t>Immunization Rate</t>
  </si>
  <si>
    <t>Category</t>
  </si>
  <si>
    <t>HIGH</t>
  </si>
  <si>
    <t>LOW</t>
  </si>
  <si>
    <t>Number of 4Ps Children</t>
  </si>
  <si>
    <t>Adjusted X</t>
  </si>
  <si>
    <t>Adjusted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</si>
</sst>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Border="0" applyAlignment="0" applyProtection="0"/>
    <xf numFmtId="0" fontId="3" fillId="0" borderId="0"/>
  </cellStyleXfs>
  <cellXfs count="13">
    <xf numFmtId="0" fontId="0" fillId="0" borderId="0" xfId="0"/>
    <xf numFmtId="2" fontId="0" fillId="0" borderId="0" xfId="0" applyNumberFormat="1"/>
    <xf numFmtId="10" fontId="1" fillId="0" borderId="0" xfId="1" applyNumberFormat="1"/>
    <xf numFmtId="10" fontId="0" fillId="0" borderId="0" xfId="0" applyNumberFormat="1"/>
    <xf numFmtId="10" fontId="0" fillId="2" borderId="0" xfId="0" applyNumberFormat="1" applyFill="1"/>
    <xf numFmtId="0" fontId="0" fillId="0" borderId="0" xfId="0" applyAlignment="1">
      <alignment horizontal="center"/>
    </xf>
    <xf numFmtId="0" fontId="2" fillId="0" borderId="0" xfId="0" applyFont="1"/>
    <xf numFmtId="0" fontId="4" fillId="3" borderId="1" xfId="2" applyFont="1" applyFill="1" applyBorder="1"/>
    <xf numFmtId="0" fontId="3" fillId="0" borderId="0" xfId="2"/>
    <xf numFmtId="0" fontId="3" fillId="0" borderId="0" xfId="2" applyAlignment="1">
      <alignment horizontal="left"/>
    </xf>
    <xf numFmtId="0" fontId="5" fillId="0" borderId="0" xfId="2" applyFont="1" applyAlignment="1">
      <alignment horizontal="center"/>
    </xf>
    <xf numFmtId="0" fontId="5" fillId="4" borderId="0" xfId="2" applyFont="1" applyFill="1" applyAlignment="1">
      <alignment horizontal="center"/>
    </xf>
    <xf numFmtId="0" fontId="0" fillId="4" borderId="0" xfId="0" applyFill="1"/>
  </cellXfs>
  <cellStyles count="3">
    <cellStyle name="Normal" xfId="0" builtinId="0"/>
    <cellStyle name="Normal 2" xfId="2" xr:uid="{06A614F0-2204-415E-8E08-728CCABA9EF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Immunization Rate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Immunization Rate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AB-49D1-B617-16ABDD5B1AE4}"/>
              </c:ext>
            </c:extLst>
          </c:dPt>
          <c:dLbls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AB-49D1-B617-16ABDD5B1A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Chart!$A$4:$A$20</c:f>
              <c:strCache>
                <c:ptCount val="17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IV-A</c:v>
                </c:pt>
                <c:pt idx="4">
                  <c:v>IV-B</c:v>
                </c:pt>
                <c:pt idx="5">
                  <c:v>V</c:v>
                </c:pt>
                <c:pt idx="6">
                  <c:v>VI</c:v>
                </c:pt>
                <c:pt idx="7">
                  <c:v>VII</c:v>
                </c:pt>
                <c:pt idx="8">
                  <c:v>VIII</c:v>
                </c:pt>
                <c:pt idx="9">
                  <c:v>IX</c:v>
                </c:pt>
                <c:pt idx="10">
                  <c:v>X</c:v>
                </c:pt>
                <c:pt idx="11">
                  <c:v>XI</c:v>
                </c:pt>
                <c:pt idx="12">
                  <c:v>XII</c:v>
                </c:pt>
                <c:pt idx="13">
                  <c:v>XIII</c:v>
                </c:pt>
                <c:pt idx="14">
                  <c:v>NCR</c:v>
                </c:pt>
                <c:pt idx="15">
                  <c:v>CAR</c:v>
                </c:pt>
                <c:pt idx="16">
                  <c:v>BARMM</c:v>
                </c:pt>
              </c:strCache>
            </c:strRef>
          </c:cat>
          <c:val>
            <c:numRef>
              <c:f>Chart!$B$4:$B$20</c:f>
              <c:numCache>
                <c:formatCode>0.00%</c:formatCode>
                <c:ptCount val="17"/>
                <c:pt idx="0">
                  <c:v>0.28088578088578087</c:v>
                </c:pt>
                <c:pt idx="1">
                  <c:v>0.34253640776699029</c:v>
                </c:pt>
                <c:pt idx="2">
                  <c:v>0.30394304490690033</c:v>
                </c:pt>
                <c:pt idx="3">
                  <c:v>0.2730040595399188</c:v>
                </c:pt>
                <c:pt idx="4">
                  <c:v>0.27442307692307694</c:v>
                </c:pt>
                <c:pt idx="5">
                  <c:v>0.27195210449927432</c:v>
                </c:pt>
                <c:pt idx="6">
                  <c:v>0.33005014326647564</c:v>
                </c:pt>
                <c:pt idx="7">
                  <c:v>0.26125776397515527</c:v>
                </c:pt>
                <c:pt idx="8">
                  <c:v>0.31303945745992601</c:v>
                </c:pt>
                <c:pt idx="9">
                  <c:v>0.21144366197183098</c:v>
                </c:pt>
                <c:pt idx="10">
                  <c:v>0.22937024972855591</c:v>
                </c:pt>
                <c:pt idx="11">
                  <c:v>0.26901709401709401</c:v>
                </c:pt>
                <c:pt idx="12">
                  <c:v>0.21347736625514405</c:v>
                </c:pt>
                <c:pt idx="13">
                  <c:v>0.24732262382864792</c:v>
                </c:pt>
                <c:pt idx="14">
                  <c:v>0.27118389423076922</c:v>
                </c:pt>
                <c:pt idx="15">
                  <c:v>0.30461329715061058</c:v>
                </c:pt>
                <c:pt idx="16">
                  <c:v>8.3425720620842567E-2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B-49D1-B617-16ABDD5B1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99040128"/>
        <c:axId val="1399040608"/>
      </c:barChart>
      <c:catAx>
        <c:axId val="139904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40608"/>
        <c:crosses val="autoZero"/>
        <c:auto val="1"/>
        <c:lblAlgn val="ctr"/>
        <c:lblOffset val="100"/>
        <c:noMultiLvlLbl val="0"/>
      </c:catAx>
      <c:valAx>
        <c:axId val="139904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4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Immunization Rate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Matrix!$E$1</c:f>
              <c:strCache>
                <c:ptCount val="1"/>
                <c:pt idx="0">
                  <c:v>Adjusted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31750">
                <a:solidFill>
                  <a:srgbClr val="0070C0"/>
                </a:solidFill>
              </a:ln>
              <a:effectLst/>
            </c:spPr>
          </c:marker>
          <c:dPt>
            <c:idx val="7"/>
            <c:marker>
              <c:symbol val="circle"/>
              <c:size val="5"/>
              <c:spPr>
                <a:solidFill>
                  <a:srgbClr val="FF0000"/>
                </a:solidFill>
                <a:ln w="3175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EE1-4179-800A-5C72BF7FA36A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0000"/>
                </a:solidFill>
                <a:ln w="3175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CEE1-4179-800A-5C72BF7FA36A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FF0000"/>
                </a:solidFill>
                <a:ln w="3175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CEE1-4179-800A-5C72BF7FA36A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rgbClr val="FF0000"/>
                </a:solidFill>
                <a:ln w="3175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EE1-4179-800A-5C72BF7FA36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213B0CC-0762-4C10-BD3C-F625F8C2D283}" type="CELLRANGE">
                      <a:rPr lang="en-US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EE1-4179-800A-5C72BF7FA36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DF222F0-EEB9-4A68-B763-7DC79C559F67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EE1-4179-800A-5C72BF7FA36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7254964-1C79-4EB6-8F4B-E54FAF1F3646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EE1-4179-800A-5C72BF7FA36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36F56FB-042D-4F80-BC06-EBC5E47B81A0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EE1-4179-800A-5C72BF7FA36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82CA524-4F05-41F5-98A0-515EB7E99EB6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EE1-4179-800A-5C72BF7FA36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7AE95EC-C9A0-4FD0-B53E-AC66774C2786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EE1-4179-800A-5C72BF7FA36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8437208-459A-41A8-98A4-4EFF44152AE4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EE1-4179-800A-5C72BF7FA36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937913A-F56A-462D-9F28-40A26E87E7A6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EE1-4179-800A-5C72BF7FA36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52A2207-4C6C-409C-9909-6F3875C532DD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EE1-4179-800A-5C72BF7FA36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DC3D724-1F5E-4649-9F13-B00E508C46C2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EE1-4179-800A-5C72BF7FA36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DD91BC6-3366-4CBF-9436-608943752371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EE1-4179-800A-5C72BF7FA36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8D9157B-762D-402D-BD87-70E5B97DDFB7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EE1-4179-800A-5C72BF7FA36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D05A0D5-944B-48C1-AA9F-FCAB549033B3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EE1-4179-800A-5C72BF7FA36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F744E81-494C-4C05-93A1-526385012A3A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EE1-4179-800A-5C72BF7FA36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61190A5-0589-4118-ABE7-AE0DE5F10AB3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EE1-4179-800A-5C72BF7FA36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17DDF50-4E51-46EB-81EA-3F8FD4B66D55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EE1-4179-800A-5C72BF7FA36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F36DBC0-CDD3-4E30-93F0-CF89E05DEB16}" type="CELLRANGE">
                      <a:rPr lang="en-PH"/>
                      <a:pPr/>
                      <a:t>[CELLRANGE]</a:t>
                    </a:fld>
                    <a:endParaRPr lang="en-P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EE1-4179-800A-5C72BF7FA3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Matrix!$D$2:$D$18</c:f>
              <c:numCache>
                <c:formatCode>General</c:formatCode>
                <c:ptCount val="17"/>
                <c:pt idx="0">
                  <c:v>-57295</c:v>
                </c:pt>
                <c:pt idx="1">
                  <c:v>-142837</c:v>
                </c:pt>
                <c:pt idx="2">
                  <c:v>8219</c:v>
                </c:pt>
                <c:pt idx="3">
                  <c:v>-19392</c:v>
                </c:pt>
                <c:pt idx="4">
                  <c:v>-49612</c:v>
                </c:pt>
                <c:pt idx="5">
                  <c:v>111897</c:v>
                </c:pt>
                <c:pt idx="6">
                  <c:v>77253</c:v>
                </c:pt>
                <c:pt idx="7">
                  <c:v>31721</c:v>
                </c:pt>
                <c:pt idx="8">
                  <c:v>17766</c:v>
                </c:pt>
                <c:pt idx="9">
                  <c:v>31015</c:v>
                </c:pt>
                <c:pt idx="10">
                  <c:v>0</c:v>
                </c:pt>
                <c:pt idx="11">
                  <c:v>21713</c:v>
                </c:pt>
                <c:pt idx="12">
                  <c:v>-14107</c:v>
                </c:pt>
                <c:pt idx="13">
                  <c:v>-52786</c:v>
                </c:pt>
                <c:pt idx="14">
                  <c:v>-41032</c:v>
                </c:pt>
                <c:pt idx="15">
                  <c:v>-182297</c:v>
                </c:pt>
                <c:pt idx="16">
                  <c:v>107040</c:v>
                </c:pt>
              </c:numCache>
            </c:numRef>
          </c:xVal>
          <c:yVal>
            <c:numRef>
              <c:f>Matrix!$E$2:$E$18</c:f>
              <c:numCache>
                <c:formatCode>0.00%</c:formatCode>
                <c:ptCount val="17"/>
                <c:pt idx="0">
                  <c:v>5.1736910336799224E-2</c:v>
                </c:pt>
                <c:pt idx="1">
                  <c:v>7.0584303267715975E-2</c:v>
                </c:pt>
                <c:pt idx="2">
                  <c:v>3.1990940407626012E-2</c:v>
                </c:pt>
                <c:pt idx="3">
                  <c:v>1.0519550406444811E-3</c:v>
                </c:pt>
                <c:pt idx="4">
                  <c:v>2.4709724238026198E-3</c:v>
                </c:pt>
                <c:pt idx="5">
                  <c:v>0</c:v>
                </c:pt>
                <c:pt idx="6">
                  <c:v>5.8098038767201321E-2</c:v>
                </c:pt>
                <c:pt idx="7">
                  <c:v>-1.069434052411905E-2</c:v>
                </c:pt>
                <c:pt idx="8">
                  <c:v>4.1087352960651691E-2</c:v>
                </c:pt>
                <c:pt idx="9">
                  <c:v>-6.0508442527443335E-2</c:v>
                </c:pt>
                <c:pt idx="10">
                  <c:v>-4.2581854770718408E-2</c:v>
                </c:pt>
                <c:pt idx="11">
                  <c:v>-2.9350104821803114E-3</c:v>
                </c:pt>
                <c:pt idx="12">
                  <c:v>-5.847473824413027E-2</c:v>
                </c:pt>
                <c:pt idx="13">
                  <c:v>-2.4629480670626397E-2</c:v>
                </c:pt>
                <c:pt idx="14">
                  <c:v>-7.6821026850509844E-4</c:v>
                </c:pt>
                <c:pt idx="15">
                  <c:v>3.2661192651336268E-2</c:v>
                </c:pt>
                <c:pt idx="16">
                  <c:v>-0.18852638387843174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Matrix!$A$2:$A$18</c15:f>
                <c15:dlblRangeCache>
                  <c:ptCount val="17"/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IV-A</c:v>
                  </c:pt>
                  <c:pt idx="4">
                    <c:v>IV-B</c:v>
                  </c:pt>
                  <c:pt idx="5">
                    <c:v>V</c:v>
                  </c:pt>
                  <c:pt idx="6">
                    <c:v>VI</c:v>
                  </c:pt>
                  <c:pt idx="7">
                    <c:v>VII</c:v>
                  </c:pt>
                  <c:pt idx="8">
                    <c:v>VIII</c:v>
                  </c:pt>
                  <c:pt idx="9">
                    <c:v>IX</c:v>
                  </c:pt>
                  <c:pt idx="10">
                    <c:v>X</c:v>
                  </c:pt>
                  <c:pt idx="11">
                    <c:v>XI</c:v>
                  </c:pt>
                  <c:pt idx="12">
                    <c:v>XII</c:v>
                  </c:pt>
                  <c:pt idx="13">
                    <c:v>XIII</c:v>
                  </c:pt>
                  <c:pt idx="14">
                    <c:v>NCR</c:v>
                  </c:pt>
                  <c:pt idx="15">
                    <c:v>CAR</c:v>
                  </c:pt>
                  <c:pt idx="16">
                    <c:v>BARMM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EE1-4179-800A-5C72BF7FA3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98324336"/>
        <c:axId val="1338895312"/>
      </c:scatterChart>
      <c:valAx>
        <c:axId val="139832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95312"/>
        <c:crosses val="autoZero"/>
        <c:crossBetween val="midCat"/>
      </c:valAx>
      <c:valAx>
        <c:axId val="133889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32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378278</xdr:colOff>
      <xdr:row>7</xdr:row>
      <xdr:rowOff>24492</xdr:rowOff>
    </xdr:from>
    <xdr:to>
      <xdr:col>11</xdr:col>
      <xdr:colOff>378278</xdr:colOff>
      <xdr:row>24</xdr:row>
      <xdr:rowOff>84363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18DE6F-1ED9-D1BC-F1E6-6FF10324A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329292</xdr:colOff>
      <xdr:row>1</xdr:row>
      <xdr:rowOff>73477</xdr:rowOff>
    </xdr:from>
    <xdr:to>
      <xdr:col>14</xdr:col>
      <xdr:colOff>212271</xdr:colOff>
      <xdr:row>29</xdr:row>
      <xdr:rowOff>38101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2927BD-F8A7-0CB7-C0C2-A09948B1C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icar%20G.%20Lara\Dropbox\PC\Downloads\Education_Worksheet4.xlsx" TargetMode="External"/><Relationship Id="rId1" Type="http://schemas.openxmlformats.org/officeDocument/2006/relationships/externalLinkPath" Target="/Users/Maricar%20G.%20Lara/Dropbox/PC/Downloads/Education_Worksheet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natal Matrix Chart"/>
      <sheetName val="Immunization Matrix Chart"/>
      <sheetName val="Enrollment Count"/>
      <sheetName val="4Ps Children Count"/>
      <sheetName val="4Ps Share in Enrollment DepEd"/>
      <sheetName val="Public Schools Count 2020"/>
      <sheetName val="Public and Private Schools 2021"/>
      <sheetName val="Classroom Ratio"/>
      <sheetName val="Teacher Ratio"/>
      <sheetName val="Educ Perf Ranking"/>
      <sheetName val="Sheet1"/>
      <sheetName val="Matrix Chart"/>
      <sheetName val="Notes"/>
    </sheetNames>
    <sheetDataSet>
      <sheetData sheetId="0">
        <row r="2">
          <cell r="E2">
            <v>5.1736910336799224E-2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topLeftCell="H1" zoomScaleNormal="100" workbookViewId="0">
      <selection activeCell="P25" sqref="P25"/>
    </sheetView>
  </sheetViews>
  <sheetFormatPr defaultColWidth="11.53515625" defaultRowHeight="12.75" customHeight="1" x14ac:dyDescent="0.3"/>
  <cols>
    <col min="1" max="1" width="7.15234375" customWidth="1"/>
    <col min="2" max="2" width="9.3828125" customWidth="1"/>
    <col min="3" max="3" width="5.3046875" customWidth="1"/>
    <col min="4" max="4" width="19.921875" customWidth="1"/>
    <col min="5" max="5" width="15.921875" customWidth="1"/>
    <col min="6" max="6" width="11.4609375" customWidth="1"/>
    <col min="7" max="9" width="17.53515625" customWidth="1"/>
    <col min="10" max="12" width="12.15234375" customWidth="1"/>
    <col min="13" max="13" width="14.765625" customWidth="1"/>
    <col min="14" max="14" width="18.23046875" customWidth="1"/>
    <col min="15" max="15" width="14.07421875" customWidth="1"/>
  </cols>
  <sheetData>
    <row r="1" spans="1:21" ht="12.7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33</v>
      </c>
      <c r="O1" t="s">
        <v>34</v>
      </c>
      <c r="P1" s="5" t="s">
        <v>35</v>
      </c>
      <c r="R1" s="7"/>
      <c r="S1" s="7"/>
      <c r="T1" s="11"/>
      <c r="U1" s="12"/>
    </row>
    <row r="2" spans="1:21" ht="12.75" customHeight="1" x14ac:dyDescent="0.3">
      <c r="A2" t="s">
        <v>13</v>
      </c>
      <c r="B2" t="s">
        <v>14</v>
      </c>
      <c r="C2">
        <v>2022</v>
      </c>
      <c r="D2">
        <v>429</v>
      </c>
      <c r="E2">
        <v>110</v>
      </c>
      <c r="F2">
        <v>147</v>
      </c>
      <c r="G2">
        <v>131</v>
      </c>
      <c r="H2">
        <v>123</v>
      </c>
      <c r="I2">
        <v>113</v>
      </c>
      <c r="J2">
        <v>136</v>
      </c>
      <c r="K2">
        <v>126</v>
      </c>
      <c r="L2">
        <v>115</v>
      </c>
      <c r="M2">
        <v>73</v>
      </c>
      <c r="N2" s="1">
        <f>AVERAGE(F2:M2)</f>
        <v>120.5</v>
      </c>
      <c r="O2" s="2">
        <f>N2/D2</f>
        <v>0.28088578088578087</v>
      </c>
      <c r="P2" s="5" t="s">
        <v>36</v>
      </c>
      <c r="R2" s="9"/>
      <c r="S2" s="8"/>
      <c r="T2" s="10"/>
    </row>
    <row r="3" spans="1:21" ht="12.75" customHeight="1" x14ac:dyDescent="0.3">
      <c r="A3" t="s">
        <v>15</v>
      </c>
      <c r="B3" t="s">
        <v>14</v>
      </c>
      <c r="C3">
        <v>2022</v>
      </c>
      <c r="D3">
        <v>412</v>
      </c>
      <c r="E3">
        <v>111</v>
      </c>
      <c r="F3">
        <v>161</v>
      </c>
      <c r="G3">
        <v>161</v>
      </c>
      <c r="H3">
        <v>151</v>
      </c>
      <c r="I3">
        <v>135</v>
      </c>
      <c r="J3">
        <v>150</v>
      </c>
      <c r="K3">
        <v>142</v>
      </c>
      <c r="L3">
        <v>127</v>
      </c>
      <c r="M3">
        <v>102</v>
      </c>
      <c r="N3" s="1">
        <f t="shared" ref="N3:N18" si="0">AVERAGE(F3:M3)</f>
        <v>141.125</v>
      </c>
      <c r="O3" s="2">
        <f t="shared" ref="O3:O18" si="1">N3/D3</f>
        <v>0.34253640776699029</v>
      </c>
      <c r="P3" s="5" t="s">
        <v>36</v>
      </c>
      <c r="R3" s="9"/>
      <c r="S3" s="8"/>
      <c r="T3" s="10"/>
    </row>
    <row r="4" spans="1:21" ht="12.75" customHeight="1" x14ac:dyDescent="0.3">
      <c r="A4" t="s">
        <v>16</v>
      </c>
      <c r="B4" t="s">
        <v>14</v>
      </c>
      <c r="C4">
        <v>2022</v>
      </c>
      <c r="D4">
        <v>913</v>
      </c>
      <c r="E4">
        <v>254</v>
      </c>
      <c r="F4">
        <v>310</v>
      </c>
      <c r="G4">
        <v>305</v>
      </c>
      <c r="H4">
        <v>290</v>
      </c>
      <c r="I4">
        <v>274</v>
      </c>
      <c r="J4">
        <v>307</v>
      </c>
      <c r="K4">
        <v>291</v>
      </c>
      <c r="L4">
        <v>259</v>
      </c>
      <c r="M4">
        <v>184</v>
      </c>
      <c r="N4" s="1">
        <f t="shared" si="0"/>
        <v>277.5</v>
      </c>
      <c r="O4" s="2">
        <f t="shared" si="1"/>
        <v>0.30394304490690033</v>
      </c>
      <c r="P4" s="5" t="s">
        <v>36</v>
      </c>
      <c r="R4" s="9"/>
      <c r="S4" s="8"/>
      <c r="T4" s="10"/>
    </row>
    <row r="5" spans="1:21" ht="12.75" customHeight="1" x14ac:dyDescent="0.3">
      <c r="A5" t="s">
        <v>17</v>
      </c>
      <c r="B5" t="s">
        <v>14</v>
      </c>
      <c r="C5">
        <v>2022</v>
      </c>
      <c r="D5">
        <v>739</v>
      </c>
      <c r="E5">
        <v>167</v>
      </c>
      <c r="F5">
        <v>233</v>
      </c>
      <c r="G5">
        <v>234</v>
      </c>
      <c r="H5">
        <v>220</v>
      </c>
      <c r="I5">
        <v>203</v>
      </c>
      <c r="J5">
        <v>222</v>
      </c>
      <c r="K5">
        <v>197</v>
      </c>
      <c r="L5">
        <v>177</v>
      </c>
      <c r="M5">
        <v>128</v>
      </c>
      <c r="N5" s="1">
        <f t="shared" si="0"/>
        <v>201.75</v>
      </c>
      <c r="O5" s="2">
        <f t="shared" si="1"/>
        <v>0.2730040595399188</v>
      </c>
      <c r="P5" s="5" t="s">
        <v>36</v>
      </c>
      <c r="R5" s="9"/>
      <c r="S5" s="8"/>
      <c r="T5" s="10"/>
    </row>
    <row r="6" spans="1:21" ht="12.75" customHeight="1" x14ac:dyDescent="0.3">
      <c r="A6" t="s">
        <v>18</v>
      </c>
      <c r="B6" t="s">
        <v>14</v>
      </c>
      <c r="C6">
        <v>2022</v>
      </c>
      <c r="D6">
        <v>650</v>
      </c>
      <c r="E6">
        <v>189</v>
      </c>
      <c r="F6">
        <v>188</v>
      </c>
      <c r="G6">
        <v>227</v>
      </c>
      <c r="H6">
        <v>210</v>
      </c>
      <c r="I6">
        <v>191</v>
      </c>
      <c r="J6">
        <v>178</v>
      </c>
      <c r="K6">
        <v>165</v>
      </c>
      <c r="L6">
        <v>145</v>
      </c>
      <c r="M6">
        <v>123</v>
      </c>
      <c r="N6" s="1">
        <f t="shared" si="0"/>
        <v>178.375</v>
      </c>
      <c r="O6" s="2">
        <f t="shared" si="1"/>
        <v>0.27442307692307694</v>
      </c>
      <c r="P6" s="5" t="s">
        <v>36</v>
      </c>
      <c r="R6" s="9"/>
      <c r="S6" s="8"/>
      <c r="T6" s="10"/>
    </row>
    <row r="7" spans="1:21" ht="12.75" customHeight="1" x14ac:dyDescent="0.3">
      <c r="A7" t="s">
        <v>19</v>
      </c>
      <c r="B7" t="s">
        <v>14</v>
      </c>
      <c r="C7">
        <v>2022</v>
      </c>
      <c r="D7">
        <v>689</v>
      </c>
      <c r="E7">
        <v>183</v>
      </c>
      <c r="F7">
        <v>220</v>
      </c>
      <c r="G7">
        <v>213</v>
      </c>
      <c r="H7">
        <v>193</v>
      </c>
      <c r="I7">
        <v>175</v>
      </c>
      <c r="J7">
        <v>209</v>
      </c>
      <c r="K7">
        <v>194</v>
      </c>
      <c r="L7">
        <v>168</v>
      </c>
      <c r="M7">
        <v>127</v>
      </c>
      <c r="N7" s="1">
        <f t="shared" si="0"/>
        <v>187.375</v>
      </c>
      <c r="O7" s="2">
        <f t="shared" si="1"/>
        <v>0.27195210449927432</v>
      </c>
      <c r="P7" s="5" t="s">
        <v>36</v>
      </c>
      <c r="R7" s="9"/>
      <c r="S7" s="8"/>
      <c r="T7" s="10"/>
    </row>
    <row r="8" spans="1:21" ht="12.75" customHeight="1" x14ac:dyDescent="0.3">
      <c r="A8" t="s">
        <v>20</v>
      </c>
      <c r="B8" t="s">
        <v>21</v>
      </c>
      <c r="C8">
        <v>2022</v>
      </c>
      <c r="D8">
        <v>698</v>
      </c>
      <c r="E8">
        <v>243</v>
      </c>
      <c r="F8">
        <v>257</v>
      </c>
      <c r="G8">
        <v>253</v>
      </c>
      <c r="H8">
        <v>245</v>
      </c>
      <c r="I8">
        <v>229</v>
      </c>
      <c r="J8">
        <v>256</v>
      </c>
      <c r="K8">
        <v>240</v>
      </c>
      <c r="L8">
        <v>222</v>
      </c>
      <c r="M8">
        <v>141</v>
      </c>
      <c r="N8" s="1">
        <f t="shared" si="0"/>
        <v>230.375</v>
      </c>
      <c r="O8" s="2">
        <f t="shared" si="1"/>
        <v>0.33005014326647564</v>
      </c>
      <c r="P8" s="5" t="s">
        <v>36</v>
      </c>
      <c r="R8" s="9"/>
      <c r="S8" s="8"/>
      <c r="T8" s="10"/>
    </row>
    <row r="9" spans="1:21" ht="12.75" customHeight="1" x14ac:dyDescent="0.3">
      <c r="A9" t="s">
        <v>22</v>
      </c>
      <c r="B9" t="s">
        <v>21</v>
      </c>
      <c r="C9">
        <v>2022</v>
      </c>
      <c r="D9">
        <v>644</v>
      </c>
      <c r="E9">
        <v>143</v>
      </c>
      <c r="F9">
        <v>179</v>
      </c>
      <c r="G9">
        <v>184</v>
      </c>
      <c r="H9">
        <v>177</v>
      </c>
      <c r="I9">
        <v>164</v>
      </c>
      <c r="J9">
        <v>194</v>
      </c>
      <c r="K9">
        <v>182</v>
      </c>
      <c r="L9">
        <v>162</v>
      </c>
      <c r="M9">
        <v>104</v>
      </c>
      <c r="N9" s="1">
        <f t="shared" si="0"/>
        <v>168.25</v>
      </c>
      <c r="O9" s="2">
        <f t="shared" si="1"/>
        <v>0.26125776397515527</v>
      </c>
      <c r="P9" s="5" t="s">
        <v>37</v>
      </c>
      <c r="R9" s="9"/>
      <c r="S9" s="8"/>
      <c r="T9" s="10"/>
    </row>
    <row r="10" spans="1:21" ht="12.75" customHeight="1" x14ac:dyDescent="0.3">
      <c r="A10" t="s">
        <v>23</v>
      </c>
      <c r="B10" t="s">
        <v>21</v>
      </c>
      <c r="C10">
        <v>2022</v>
      </c>
      <c r="D10">
        <v>811</v>
      </c>
      <c r="E10">
        <v>237</v>
      </c>
      <c r="F10">
        <v>258</v>
      </c>
      <c r="G10">
        <v>281</v>
      </c>
      <c r="H10">
        <v>272</v>
      </c>
      <c r="I10">
        <v>258</v>
      </c>
      <c r="J10">
        <v>273</v>
      </c>
      <c r="K10">
        <v>264</v>
      </c>
      <c r="L10">
        <v>245</v>
      </c>
      <c r="M10">
        <v>180</v>
      </c>
      <c r="N10" s="1">
        <f t="shared" si="0"/>
        <v>253.875</v>
      </c>
      <c r="O10" s="2">
        <f t="shared" si="1"/>
        <v>0.31303945745992601</v>
      </c>
      <c r="P10" s="5" t="s">
        <v>36</v>
      </c>
      <c r="R10" s="9"/>
      <c r="S10" s="8"/>
      <c r="T10" s="10"/>
    </row>
    <row r="11" spans="1:21" ht="12.75" customHeight="1" x14ac:dyDescent="0.3">
      <c r="A11" t="s">
        <v>24</v>
      </c>
      <c r="B11" t="s">
        <v>25</v>
      </c>
      <c r="C11">
        <v>2022</v>
      </c>
      <c r="D11">
        <v>710</v>
      </c>
      <c r="E11">
        <v>139</v>
      </c>
      <c r="F11">
        <v>182</v>
      </c>
      <c r="G11">
        <v>175</v>
      </c>
      <c r="H11">
        <v>159</v>
      </c>
      <c r="I11">
        <v>144</v>
      </c>
      <c r="J11">
        <v>170</v>
      </c>
      <c r="K11">
        <v>152</v>
      </c>
      <c r="L11">
        <v>139</v>
      </c>
      <c r="M11">
        <v>80</v>
      </c>
      <c r="N11" s="1">
        <f t="shared" si="0"/>
        <v>150.125</v>
      </c>
      <c r="O11" s="2">
        <f t="shared" si="1"/>
        <v>0.21144366197183098</v>
      </c>
      <c r="P11" s="5" t="s">
        <v>37</v>
      </c>
      <c r="R11" s="9"/>
      <c r="S11" s="8"/>
      <c r="T11" s="10"/>
    </row>
    <row r="12" spans="1:21" ht="12.75" customHeight="1" x14ac:dyDescent="0.3">
      <c r="A12" t="s">
        <v>26</v>
      </c>
      <c r="B12" t="s">
        <v>25</v>
      </c>
      <c r="C12">
        <v>2022</v>
      </c>
      <c r="D12">
        <v>921</v>
      </c>
      <c r="E12">
        <v>205</v>
      </c>
      <c r="F12">
        <v>228</v>
      </c>
      <c r="G12">
        <v>241</v>
      </c>
      <c r="H12">
        <v>229</v>
      </c>
      <c r="I12">
        <v>208</v>
      </c>
      <c r="J12">
        <v>239</v>
      </c>
      <c r="K12">
        <v>219</v>
      </c>
      <c r="L12">
        <v>189</v>
      </c>
      <c r="M12">
        <v>137</v>
      </c>
      <c r="N12" s="1">
        <f t="shared" si="0"/>
        <v>211.25</v>
      </c>
      <c r="O12" s="2">
        <f t="shared" si="1"/>
        <v>0.22937024972855591</v>
      </c>
      <c r="P12" s="5" t="s">
        <v>37</v>
      </c>
      <c r="R12" s="9"/>
      <c r="S12" s="8"/>
      <c r="T12" s="10"/>
    </row>
    <row r="13" spans="1:21" ht="12.75" customHeight="1" x14ac:dyDescent="0.3">
      <c r="A13" t="s">
        <v>27</v>
      </c>
      <c r="B13" t="s">
        <v>25</v>
      </c>
      <c r="C13">
        <v>2022</v>
      </c>
      <c r="D13">
        <v>585</v>
      </c>
      <c r="E13">
        <v>141</v>
      </c>
      <c r="F13">
        <v>186</v>
      </c>
      <c r="G13">
        <v>195</v>
      </c>
      <c r="H13">
        <v>181</v>
      </c>
      <c r="I13">
        <v>157</v>
      </c>
      <c r="J13">
        <v>174</v>
      </c>
      <c r="K13">
        <v>150</v>
      </c>
      <c r="L13">
        <v>128</v>
      </c>
      <c r="M13">
        <v>88</v>
      </c>
      <c r="N13" s="1">
        <f t="shared" si="0"/>
        <v>157.375</v>
      </c>
      <c r="O13" s="2">
        <f t="shared" si="1"/>
        <v>0.26901709401709401</v>
      </c>
      <c r="P13" s="5" t="s">
        <v>37</v>
      </c>
      <c r="R13" s="9"/>
      <c r="S13" s="8"/>
      <c r="T13" s="10"/>
    </row>
    <row r="14" spans="1:21" ht="12.75" customHeight="1" x14ac:dyDescent="0.3">
      <c r="A14" t="s">
        <v>28</v>
      </c>
      <c r="B14" t="s">
        <v>25</v>
      </c>
      <c r="C14">
        <v>2022</v>
      </c>
      <c r="D14">
        <v>729</v>
      </c>
      <c r="E14">
        <v>137</v>
      </c>
      <c r="F14">
        <v>189</v>
      </c>
      <c r="G14">
        <v>190</v>
      </c>
      <c r="H14">
        <v>170</v>
      </c>
      <c r="I14">
        <v>148</v>
      </c>
      <c r="J14">
        <v>170</v>
      </c>
      <c r="K14">
        <v>149</v>
      </c>
      <c r="L14">
        <v>131</v>
      </c>
      <c r="M14">
        <v>98</v>
      </c>
      <c r="N14" s="1">
        <f t="shared" si="0"/>
        <v>155.625</v>
      </c>
      <c r="O14" s="2">
        <f t="shared" si="1"/>
        <v>0.21347736625514405</v>
      </c>
      <c r="P14" s="5" t="s">
        <v>37</v>
      </c>
      <c r="R14" s="9"/>
      <c r="S14" s="8"/>
      <c r="T14" s="10"/>
    </row>
    <row r="15" spans="1:21" ht="12.75" customHeight="1" x14ac:dyDescent="0.3">
      <c r="A15" t="s">
        <v>29</v>
      </c>
      <c r="B15" t="s">
        <v>25</v>
      </c>
      <c r="C15">
        <v>2022</v>
      </c>
      <c r="D15">
        <v>747</v>
      </c>
      <c r="E15">
        <v>179</v>
      </c>
      <c r="F15">
        <v>200</v>
      </c>
      <c r="G15">
        <v>223</v>
      </c>
      <c r="H15">
        <v>201</v>
      </c>
      <c r="I15">
        <v>175</v>
      </c>
      <c r="J15">
        <v>212</v>
      </c>
      <c r="K15">
        <v>186</v>
      </c>
      <c r="L15">
        <v>162</v>
      </c>
      <c r="M15">
        <v>119</v>
      </c>
      <c r="N15" s="1">
        <f t="shared" si="0"/>
        <v>184.75</v>
      </c>
      <c r="O15" s="2">
        <f t="shared" si="1"/>
        <v>0.24732262382864792</v>
      </c>
      <c r="P15" s="5" t="s">
        <v>37</v>
      </c>
      <c r="R15" s="9"/>
      <c r="S15" s="8"/>
      <c r="T15" s="10"/>
    </row>
    <row r="16" spans="1:21" ht="12.75" customHeight="1" x14ac:dyDescent="0.3">
      <c r="A16" t="s">
        <v>30</v>
      </c>
      <c r="B16" t="s">
        <v>14</v>
      </c>
      <c r="C16">
        <v>2022</v>
      </c>
      <c r="D16">
        <v>832</v>
      </c>
      <c r="E16">
        <v>178</v>
      </c>
      <c r="F16">
        <v>266</v>
      </c>
      <c r="G16">
        <v>261</v>
      </c>
      <c r="H16">
        <v>243</v>
      </c>
      <c r="I16">
        <v>220</v>
      </c>
      <c r="J16">
        <v>241</v>
      </c>
      <c r="K16">
        <v>219</v>
      </c>
      <c r="L16">
        <v>195</v>
      </c>
      <c r="M16">
        <v>160</v>
      </c>
      <c r="N16" s="1">
        <f t="shared" si="0"/>
        <v>225.625</v>
      </c>
      <c r="O16" s="2">
        <f t="shared" si="1"/>
        <v>0.27118389423076922</v>
      </c>
      <c r="P16" s="5" t="s">
        <v>37</v>
      </c>
      <c r="R16" s="9"/>
      <c r="S16" s="8"/>
      <c r="T16" s="10"/>
    </row>
    <row r="17" spans="1:20" ht="12.75" customHeight="1" x14ac:dyDescent="0.3">
      <c r="A17" t="s">
        <v>31</v>
      </c>
      <c r="B17" t="s">
        <v>14</v>
      </c>
      <c r="C17">
        <v>2022</v>
      </c>
      <c r="D17">
        <v>737</v>
      </c>
      <c r="E17">
        <v>162</v>
      </c>
      <c r="F17">
        <v>261</v>
      </c>
      <c r="G17">
        <v>254</v>
      </c>
      <c r="H17">
        <v>238</v>
      </c>
      <c r="I17">
        <v>220</v>
      </c>
      <c r="J17">
        <v>246</v>
      </c>
      <c r="K17">
        <v>221</v>
      </c>
      <c r="L17">
        <v>203</v>
      </c>
      <c r="M17">
        <v>153</v>
      </c>
      <c r="N17" s="1">
        <f t="shared" si="0"/>
        <v>224.5</v>
      </c>
      <c r="O17" s="2">
        <f t="shared" si="1"/>
        <v>0.30461329715061058</v>
      </c>
      <c r="P17" s="5" t="s">
        <v>36</v>
      </c>
      <c r="R17" s="9"/>
      <c r="S17" s="8"/>
      <c r="T17" s="10"/>
    </row>
    <row r="18" spans="1:20" ht="12.75" customHeight="1" x14ac:dyDescent="0.3">
      <c r="A18" t="s">
        <v>32</v>
      </c>
      <c r="B18" t="s">
        <v>25</v>
      </c>
      <c r="C18">
        <v>2022</v>
      </c>
      <c r="D18">
        <v>1804</v>
      </c>
      <c r="E18">
        <v>147</v>
      </c>
      <c r="F18">
        <v>184</v>
      </c>
      <c r="G18">
        <v>196</v>
      </c>
      <c r="H18">
        <v>163</v>
      </c>
      <c r="I18">
        <v>132</v>
      </c>
      <c r="J18">
        <v>172</v>
      </c>
      <c r="K18">
        <v>147</v>
      </c>
      <c r="L18">
        <v>125</v>
      </c>
      <c r="M18">
        <v>85</v>
      </c>
      <c r="N18" s="1">
        <f t="shared" si="0"/>
        <v>150.5</v>
      </c>
      <c r="O18" s="2">
        <f t="shared" si="1"/>
        <v>8.3425720620842567E-2</v>
      </c>
      <c r="P18" s="5" t="s">
        <v>37</v>
      </c>
      <c r="R18" s="9"/>
      <c r="S18" s="8"/>
      <c r="T18" s="10"/>
    </row>
    <row r="21" spans="1:20" ht="12.75" customHeight="1" x14ac:dyDescent="0.3">
      <c r="O21" s="4">
        <f>MEDIAN(O2:O18)</f>
        <v>0.27195210449927432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91AC-C143-4240-A677-E27031108174}">
  <dimension ref="A3:B20"/>
  <sheetViews>
    <sheetView workbookViewId="0">
      <selection activeCell="C16" sqref="C16"/>
    </sheetView>
  </sheetViews>
  <sheetFormatPr defaultRowHeight="12.45" x14ac:dyDescent="0.3"/>
  <cols>
    <col min="2" max="2" width="18.23046875" customWidth="1"/>
  </cols>
  <sheetData>
    <row r="3" spans="1:2" x14ac:dyDescent="0.3">
      <c r="A3" s="6" t="s">
        <v>0</v>
      </c>
      <c r="B3" s="6" t="s">
        <v>34</v>
      </c>
    </row>
    <row r="4" spans="1:2" x14ac:dyDescent="0.3">
      <c r="A4" t="s">
        <v>13</v>
      </c>
      <c r="B4" s="2">
        <v>0.28088578088578087</v>
      </c>
    </row>
    <row r="5" spans="1:2" x14ac:dyDescent="0.3">
      <c r="A5" t="s">
        <v>15</v>
      </c>
      <c r="B5" s="2">
        <v>0.34253640776699029</v>
      </c>
    </row>
    <row r="6" spans="1:2" x14ac:dyDescent="0.3">
      <c r="A6" t="s">
        <v>16</v>
      </c>
      <c r="B6" s="2">
        <v>0.30394304490690033</v>
      </c>
    </row>
    <row r="7" spans="1:2" x14ac:dyDescent="0.3">
      <c r="A7" t="s">
        <v>17</v>
      </c>
      <c r="B7" s="2">
        <v>0.2730040595399188</v>
      </c>
    </row>
    <row r="8" spans="1:2" x14ac:dyDescent="0.3">
      <c r="A8" t="s">
        <v>18</v>
      </c>
      <c r="B8" s="2">
        <v>0.27442307692307694</v>
      </c>
    </row>
    <row r="9" spans="1:2" x14ac:dyDescent="0.3">
      <c r="A9" t="s">
        <v>19</v>
      </c>
      <c r="B9" s="2">
        <v>0.27195210449927432</v>
      </c>
    </row>
    <row r="10" spans="1:2" x14ac:dyDescent="0.3">
      <c r="A10" t="s">
        <v>20</v>
      </c>
      <c r="B10" s="2">
        <v>0.33005014326647564</v>
      </c>
    </row>
    <row r="11" spans="1:2" x14ac:dyDescent="0.3">
      <c r="A11" t="s">
        <v>22</v>
      </c>
      <c r="B11" s="2">
        <v>0.26125776397515527</v>
      </c>
    </row>
    <row r="12" spans="1:2" x14ac:dyDescent="0.3">
      <c r="A12" t="s">
        <v>23</v>
      </c>
      <c r="B12" s="2">
        <v>0.31303945745992601</v>
      </c>
    </row>
    <row r="13" spans="1:2" x14ac:dyDescent="0.3">
      <c r="A13" t="s">
        <v>24</v>
      </c>
      <c r="B13" s="2">
        <v>0.21144366197183098</v>
      </c>
    </row>
    <row r="14" spans="1:2" x14ac:dyDescent="0.3">
      <c r="A14" t="s">
        <v>26</v>
      </c>
      <c r="B14" s="2">
        <v>0.22937024972855591</v>
      </c>
    </row>
    <row r="15" spans="1:2" x14ac:dyDescent="0.3">
      <c r="A15" t="s">
        <v>27</v>
      </c>
      <c r="B15" s="2">
        <v>0.26901709401709401</v>
      </c>
    </row>
    <row r="16" spans="1:2" x14ac:dyDescent="0.3">
      <c r="A16" t="s">
        <v>28</v>
      </c>
      <c r="B16" s="2">
        <v>0.21347736625514405</v>
      </c>
    </row>
    <row r="17" spans="1:2" x14ac:dyDescent="0.3">
      <c r="A17" t="s">
        <v>29</v>
      </c>
      <c r="B17" s="2">
        <v>0.24732262382864792</v>
      </c>
    </row>
    <row r="18" spans="1:2" x14ac:dyDescent="0.3">
      <c r="A18" t="s">
        <v>30</v>
      </c>
      <c r="B18" s="2">
        <v>0.27118389423076922</v>
      </c>
    </row>
    <row r="19" spans="1:2" x14ac:dyDescent="0.3">
      <c r="A19" t="s">
        <v>31</v>
      </c>
      <c r="B19" s="2">
        <v>0.30461329715061058</v>
      </c>
    </row>
    <row r="20" spans="1:2" x14ac:dyDescent="0.3">
      <c r="A20" t="s">
        <v>32</v>
      </c>
      <c r="B20" s="2">
        <v>8.3425720620842567E-2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5F72-FA22-4FD5-B8F7-F105AEA9D9EC}">
  <dimension ref="A1:E18"/>
  <sheetViews>
    <sheetView workbookViewId="0">
      <selection activeCell="B25" sqref="B25"/>
    </sheetView>
  </sheetViews>
  <sheetFormatPr defaultRowHeight="12.45" x14ac:dyDescent="0.3"/>
  <cols>
    <col min="2" max="2" width="13.23046875" customWidth="1"/>
    <col min="3" max="3" width="17.23046875" customWidth="1"/>
  </cols>
  <sheetData>
    <row r="1" spans="1:5" x14ac:dyDescent="0.3">
      <c r="A1" t="s">
        <v>0</v>
      </c>
      <c r="B1" t="s">
        <v>38</v>
      </c>
      <c r="C1" s="2" t="s">
        <v>34</v>
      </c>
      <c r="D1" t="s">
        <v>39</v>
      </c>
      <c r="E1" t="s">
        <v>40</v>
      </c>
    </row>
    <row r="2" spans="1:5" x14ac:dyDescent="0.3">
      <c r="A2" t="s">
        <v>13</v>
      </c>
      <c r="B2">
        <v>175110</v>
      </c>
      <c r="C2" s="2">
        <v>0.28088578088578087</v>
      </c>
      <c r="D2">
        <f xml:space="preserve"> B2 - MEDIAN($B$2:$B$18)</f>
        <v>-57295</v>
      </c>
      <c r="E2" s="3">
        <f>'[1]Prenatal Matrix Chart'!$E$2</f>
        <v>5.1736910336799224E-2</v>
      </c>
    </row>
    <row r="3" spans="1:5" x14ac:dyDescent="0.3">
      <c r="A3" t="s">
        <v>15</v>
      </c>
      <c r="B3">
        <v>89568</v>
      </c>
      <c r="C3" s="2">
        <v>0.34253640776699029</v>
      </c>
      <c r="D3">
        <f t="shared" ref="D3:D18" si="0" xml:space="preserve"> B3 - MEDIAN($B$2:$B$18)</f>
        <v>-142837</v>
      </c>
      <c r="E3" s="3">
        <f t="shared" ref="E3:E18" si="1" xml:space="preserve"> C3 - MEDIAN($C$2:$C$18)</f>
        <v>7.0584303267715975E-2</v>
      </c>
    </row>
    <row r="4" spans="1:5" x14ac:dyDescent="0.3">
      <c r="A4" t="s">
        <v>16</v>
      </c>
      <c r="B4">
        <v>240624</v>
      </c>
      <c r="C4" s="2">
        <v>0.30394304490690033</v>
      </c>
      <c r="D4">
        <f t="shared" si="0"/>
        <v>8219</v>
      </c>
      <c r="E4" s="3">
        <f t="shared" si="1"/>
        <v>3.1990940407626012E-2</v>
      </c>
    </row>
    <row r="5" spans="1:5" x14ac:dyDescent="0.3">
      <c r="A5" t="s">
        <v>17</v>
      </c>
      <c r="B5">
        <v>213013</v>
      </c>
      <c r="C5" s="2">
        <v>0.2730040595399188</v>
      </c>
      <c r="D5">
        <f t="shared" si="0"/>
        <v>-19392</v>
      </c>
      <c r="E5" s="3">
        <f t="shared" si="1"/>
        <v>1.0519550406444811E-3</v>
      </c>
    </row>
    <row r="6" spans="1:5" x14ac:dyDescent="0.3">
      <c r="A6" t="s">
        <v>18</v>
      </c>
      <c r="B6">
        <v>182793</v>
      </c>
      <c r="C6" s="2">
        <v>0.27442307692307694</v>
      </c>
      <c r="D6">
        <f t="shared" si="0"/>
        <v>-49612</v>
      </c>
      <c r="E6" s="3">
        <f t="shared" si="1"/>
        <v>2.4709724238026198E-3</v>
      </c>
    </row>
    <row r="7" spans="1:5" x14ac:dyDescent="0.3">
      <c r="A7" t="s">
        <v>19</v>
      </c>
      <c r="B7">
        <v>344302</v>
      </c>
      <c r="C7" s="2">
        <v>0.27195210449927432</v>
      </c>
      <c r="D7">
        <f t="shared" si="0"/>
        <v>111897</v>
      </c>
      <c r="E7" s="3">
        <f t="shared" si="1"/>
        <v>0</v>
      </c>
    </row>
    <row r="8" spans="1:5" x14ac:dyDescent="0.3">
      <c r="A8" t="s">
        <v>20</v>
      </c>
      <c r="B8">
        <v>309658</v>
      </c>
      <c r="C8" s="2">
        <v>0.33005014326647564</v>
      </c>
      <c r="D8">
        <f t="shared" si="0"/>
        <v>77253</v>
      </c>
      <c r="E8" s="3">
        <f t="shared" si="1"/>
        <v>5.8098038767201321E-2</v>
      </c>
    </row>
    <row r="9" spans="1:5" x14ac:dyDescent="0.3">
      <c r="A9" t="s">
        <v>22</v>
      </c>
      <c r="B9">
        <v>264126</v>
      </c>
      <c r="C9" s="2">
        <v>0.26125776397515527</v>
      </c>
      <c r="D9">
        <f t="shared" si="0"/>
        <v>31721</v>
      </c>
      <c r="E9" s="3">
        <f t="shared" si="1"/>
        <v>-1.069434052411905E-2</v>
      </c>
    </row>
    <row r="10" spans="1:5" x14ac:dyDescent="0.3">
      <c r="A10" t="s">
        <v>23</v>
      </c>
      <c r="B10">
        <v>250171</v>
      </c>
      <c r="C10" s="2">
        <v>0.31303945745992601</v>
      </c>
      <c r="D10">
        <f t="shared" si="0"/>
        <v>17766</v>
      </c>
      <c r="E10" s="3">
        <f t="shared" si="1"/>
        <v>4.1087352960651691E-2</v>
      </c>
    </row>
    <row r="11" spans="1:5" x14ac:dyDescent="0.3">
      <c r="A11" t="s">
        <v>24</v>
      </c>
      <c r="B11">
        <v>263420</v>
      </c>
      <c r="C11" s="2">
        <v>0.21144366197183098</v>
      </c>
      <c r="D11">
        <f t="shared" si="0"/>
        <v>31015</v>
      </c>
      <c r="E11" s="3">
        <f t="shared" si="1"/>
        <v>-6.0508442527443335E-2</v>
      </c>
    </row>
    <row r="12" spans="1:5" x14ac:dyDescent="0.3">
      <c r="A12" t="s">
        <v>26</v>
      </c>
      <c r="B12">
        <v>232405</v>
      </c>
      <c r="C12" s="2">
        <v>0.22937024972855591</v>
      </c>
      <c r="D12">
        <f t="shared" si="0"/>
        <v>0</v>
      </c>
      <c r="E12" s="3">
        <f t="shared" si="1"/>
        <v>-4.2581854770718408E-2</v>
      </c>
    </row>
    <row r="13" spans="1:5" x14ac:dyDescent="0.3">
      <c r="A13" t="s">
        <v>27</v>
      </c>
      <c r="B13">
        <v>254118</v>
      </c>
      <c r="C13" s="2">
        <v>0.26901709401709401</v>
      </c>
      <c r="D13">
        <f t="shared" si="0"/>
        <v>21713</v>
      </c>
      <c r="E13" s="3">
        <f t="shared" si="1"/>
        <v>-2.9350104821803114E-3</v>
      </c>
    </row>
    <row r="14" spans="1:5" x14ac:dyDescent="0.3">
      <c r="A14" t="s">
        <v>28</v>
      </c>
      <c r="B14">
        <v>218298</v>
      </c>
      <c r="C14" s="2">
        <v>0.21347736625514405</v>
      </c>
      <c r="D14">
        <f t="shared" si="0"/>
        <v>-14107</v>
      </c>
      <c r="E14" s="3">
        <f t="shared" si="1"/>
        <v>-5.847473824413027E-2</v>
      </c>
    </row>
    <row r="15" spans="1:5" x14ac:dyDescent="0.3">
      <c r="A15" t="s">
        <v>29</v>
      </c>
      <c r="B15">
        <v>179619</v>
      </c>
      <c r="C15" s="2">
        <v>0.24732262382864792</v>
      </c>
      <c r="D15">
        <f t="shared" si="0"/>
        <v>-52786</v>
      </c>
      <c r="E15" s="3">
        <f t="shared" si="1"/>
        <v>-2.4629480670626397E-2</v>
      </c>
    </row>
    <row r="16" spans="1:5" x14ac:dyDescent="0.3">
      <c r="A16" t="s">
        <v>30</v>
      </c>
      <c r="B16">
        <v>191373</v>
      </c>
      <c r="C16" s="2">
        <v>0.27118389423076922</v>
      </c>
      <c r="D16">
        <f t="shared" si="0"/>
        <v>-41032</v>
      </c>
      <c r="E16" s="3">
        <f t="shared" si="1"/>
        <v>-7.6821026850509844E-4</v>
      </c>
    </row>
    <row r="17" spans="1:5" x14ac:dyDescent="0.3">
      <c r="A17" t="s">
        <v>31</v>
      </c>
      <c r="B17">
        <v>50108</v>
      </c>
      <c r="C17" s="2">
        <v>0.30461329715061058</v>
      </c>
      <c r="D17">
        <f t="shared" si="0"/>
        <v>-182297</v>
      </c>
      <c r="E17" s="3">
        <f t="shared" si="1"/>
        <v>3.2661192651336268E-2</v>
      </c>
    </row>
    <row r="18" spans="1:5" x14ac:dyDescent="0.3">
      <c r="A18" t="s">
        <v>32</v>
      </c>
      <c r="B18">
        <v>339445</v>
      </c>
      <c r="C18" s="2">
        <v>8.3425720620842567E-2</v>
      </c>
      <c r="D18">
        <f t="shared" si="0"/>
        <v>107040</v>
      </c>
      <c r="E18" s="3">
        <f t="shared" si="1"/>
        <v>-0.18852638387843174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fact_immunization_2022_20251110</vt:lpstr>
      <vt:lpstr>Chart</vt:lpstr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MARICAR LARA</cp:lastModifiedBy>
  <cp:revision>0</cp:revision>
  <dcterms:modified xsi:type="dcterms:W3CDTF">2025-11-14T01:58:44Z</dcterms:modified>
  <dc:language>en-US</dc:language>
</cp:coreProperties>
</file>