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car G. Lara\Dropbox\PC\Desktop\FTW Data Analytics\Capstone\"/>
    </mc:Choice>
  </mc:AlternateContent>
  <xr:revisionPtr revIDLastSave="0" documentId="13_ncr:1_{7301611D-E23D-4928-AD36-9A6D5A9C0355}" xr6:coauthVersionLast="47" xr6:coauthVersionMax="47" xr10:uidLastSave="{00000000-0000-0000-0000-000000000000}"/>
  <bookViews>
    <workbookView xWindow="-103" yWindow="-103" windowWidth="19543" windowHeight="12377" activeTab="1" xr2:uid="{00000000-000D-0000-FFFF-FFFF00000000}"/>
  </bookViews>
  <sheets>
    <sheet name="Immunization Matrix Chart" sheetId="23" r:id="rId1"/>
    <sheet name="Prenatal Matrix Chart" sheetId="2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3" l="1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E2" i="23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E2" i="24"/>
  <c r="D18" i="24" l="1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2" i="24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</calcChain>
</file>

<file path=xl/sharedStrings.xml><?xml version="1.0" encoding="utf-8"?>
<sst xmlns="http://schemas.openxmlformats.org/spreadsheetml/2006/main" count="44" uniqueCount="25">
  <si>
    <t>Region</t>
  </si>
  <si>
    <t>NCR</t>
  </si>
  <si>
    <t>BARMM</t>
  </si>
  <si>
    <t>CAR</t>
  </si>
  <si>
    <t>I</t>
  </si>
  <si>
    <t>II</t>
  </si>
  <si>
    <t>III</t>
  </si>
  <si>
    <t>IV-A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</si>
  <si>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</si>
  <si>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</si>
  <si>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</si>
  <si>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</si>
  <si>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</si>
  <si>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</si>
  <si>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</si>
  <si>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</si>
  <si>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</si>
  <si>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IV-B</t>
  </si>
  <si>
    <t>Adjusted X</t>
  </si>
  <si>
    <t>Adjusted Y</t>
  </si>
  <si>
    <t>Education Performance</t>
  </si>
  <si>
    <t>Number of 4Ps Children</t>
  </si>
  <si>
    <t>region</t>
  </si>
  <si>
    <t>4Ps Members</t>
  </si>
  <si>
    <t>Natal Visits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</si>
</sst>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10" fontId="3" fillId="0" borderId="0" xfId="1" applyNumberFormat="1" applyFont="1" applyAlignment="1">
      <alignment horizontal="center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17FB7"/>
      <color rgb="FF4C8DFF"/>
      <color rgb="FF407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466853652214432E-2"/>
          <c:y val="2.7191605443381804E-2"/>
          <c:w val="0.91182568534683706"/>
          <c:h val="0.945616789113236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'Immunization Matrix Chart'!$E$1</c:f>
              <c:strCache>
                <c:ptCount val="1"/>
                <c:pt idx="0">
                  <c:v>Adjusted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276311614513269E-2"/>
                  <c:y val="-1.5314827608827856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4CDB693-B3A6-4143-9F14-46ED3BA956EB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047909888632907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660-4E97-B95E-25E4ABB331DD}"/>
                </c:ext>
              </c:extLst>
            </c:dLbl>
            <c:dLbl>
              <c:idx val="1"/>
              <c:layout>
                <c:manualLayout>
                  <c:x val="-2.6848352832297653E-2"/>
                  <c:y val="-3.054770348998130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E367FD5-9317-4445-AB41-AFCE1973F2F5}" type="CELLRANGE">
                      <a:rPr lang="en-US" sz="1200" b="1"/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679653091884258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660-4E97-B95E-25E4ABB331DD}"/>
                </c:ext>
              </c:extLst>
            </c:dLbl>
            <c:dLbl>
              <c:idx val="2"/>
              <c:layout>
                <c:manualLayout>
                  <c:x val="-2.9600910351245568E-2"/>
                  <c:y val="-5.1825602783521722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55B42AF-4E7F-4EDC-8A50-3C68E6361E33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91876047208507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660-4E97-B95E-25E4ABB331DD}"/>
                </c:ext>
              </c:extLst>
            </c:dLbl>
            <c:dLbl>
              <c:idx val="3"/>
              <c:layout>
                <c:manualLayout>
                  <c:x val="-2.4862941590209936E-2"/>
                  <c:y val="-3.26886113498189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7F2BC50-D346-4D48-879B-BB5A2244AD27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3305216954571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660-4E97-B95E-25E4ABB331DD}"/>
                </c:ext>
              </c:extLst>
            </c:dLbl>
            <c:dLbl>
              <c:idx val="4"/>
              <c:layout>
                <c:manualLayout>
                  <c:x val="-3.703394483727801E-2"/>
                  <c:y val="-2.309342022693066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7333606-F758-46E7-8CA8-DB7CF2CDA178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462273828037754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660-4E97-B95E-25E4ABB331DD}"/>
                </c:ext>
              </c:extLst>
            </c:dLbl>
            <c:dLbl>
              <c:idx val="5"/>
              <c:layout>
                <c:manualLayout>
                  <c:x val="-2.8703452163904471E-2"/>
                  <c:y val="-2.356880271215929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>
                            <a:alpha val="99318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D69F98-BCFC-D049-B19E-0B80E981B851}" type="CELLRANGE">
                      <a:rPr lang="en-US" sz="1200" b="1">
                        <a:ln>
                          <a:noFill/>
                        </a:ln>
                        <a:solidFill>
                          <a:schemeClr val="tx1">
                            <a:alpha val="99318"/>
                          </a:schemeClr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tx1">
                              <a:alpha val="99318"/>
                            </a:schemeClr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>
                          <a:alpha val="99318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051069895071129E-2"/>
                      <c:h val="6.178236399574510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660-4E97-B95E-25E4ABB331DD}"/>
                </c:ext>
              </c:extLst>
            </c:dLbl>
            <c:dLbl>
              <c:idx val="6"/>
              <c:layout>
                <c:manualLayout>
                  <c:x val="-1.6030837255510681E-2"/>
                  <c:y val="-1.1765785902293447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DFF44D9-8DD2-4495-952E-91137F9E9234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044954158290835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660-4E97-B95E-25E4ABB331DD}"/>
                </c:ext>
              </c:extLst>
            </c:dLbl>
            <c:dLbl>
              <c:idx val="7"/>
              <c:layout>
                <c:manualLayout>
                  <c:x val="5.5095077355665429E-3"/>
                  <c:y val="1.470792085268620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233D0A0-4E12-471C-9020-6ED042F65C64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660-4E97-B95E-25E4ABB331DD}"/>
                </c:ext>
              </c:extLst>
            </c:dLbl>
            <c:dLbl>
              <c:idx val="8"/>
              <c:layout>
                <c:manualLayout>
                  <c:x val="-2.5727357535942307E-2"/>
                  <c:y val="-2.257103843746168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E102D58-EE3C-4805-A7D4-5165721E75B7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31722017500017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660-4E97-B95E-25E4ABB331DD}"/>
                </c:ext>
              </c:extLst>
            </c:dLbl>
            <c:dLbl>
              <c:idx val="9"/>
              <c:layout>
                <c:manualLayout>
                  <c:x val="-2.3778437161862866E-2"/>
                  <c:y val="-1.5507788467618922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7511A10-3242-4A67-9C45-3E920137EC19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660-4E97-B95E-25E4ABB331DD}"/>
                </c:ext>
              </c:extLst>
            </c:dLbl>
            <c:dLbl>
              <c:idx val="10"/>
              <c:layout>
                <c:manualLayout>
                  <c:x val="-1.0798117092789904E-2"/>
                  <c:y val="-5.2671327065184912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BC298A9-E3D2-462E-9EB1-17138C0EE21F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3204158381207688E-2"/>
                      <c:h val="6.178235081091518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660-4E97-B95E-25E4ABB331DD}"/>
                </c:ext>
              </c:extLst>
            </c:dLbl>
            <c:dLbl>
              <c:idx val="11"/>
              <c:layout>
                <c:manualLayout>
                  <c:x val="-1.3116817890363982E-2"/>
                  <c:y val="2.509683010323351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67FD3FE-6246-4CDA-A42C-ECB94AA64B66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136530180032405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660-4E97-B95E-25E4ABB331DD}"/>
                </c:ext>
              </c:extLst>
            </c:dLbl>
            <c:dLbl>
              <c:idx val="12"/>
              <c:layout>
                <c:manualLayout>
                  <c:x val="-3.7191020675771291E-2"/>
                  <c:y val="1.3086345205289141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5B03F12-49C0-43B9-AD8B-11C66FF74A66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29652076631749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660-4E97-B95E-25E4ABB331DD}"/>
                </c:ext>
              </c:extLst>
            </c:dLbl>
            <c:dLbl>
              <c:idx val="13"/>
              <c:layout>
                <c:manualLayout>
                  <c:x val="-3.5170644705665832E-2"/>
                  <c:y val="2.662159387186462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33DAFB3-21CF-4043-A677-8532AAD30758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29652076631749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660-4E97-B95E-25E4ABB331DD}"/>
                </c:ext>
              </c:extLst>
            </c:dLbl>
            <c:dLbl>
              <c:idx val="14"/>
              <c:layout>
                <c:manualLayout>
                  <c:x val="-1.4634498529184197E-2"/>
                  <c:y val="2.900499550861635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24A9B09-9108-417F-88A0-458C97AFD923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522777251395852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660-4E97-B95E-25E4ABB331DD}"/>
                </c:ext>
              </c:extLst>
            </c:dLbl>
            <c:dLbl>
              <c:idx val="15"/>
              <c:layout>
                <c:manualLayout>
                  <c:x val="-1.9360119291425022E-2"/>
                  <c:y val="-8.3080849803613983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68806FB-D343-44BE-8E1E-3FD5F4F40833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958724236132567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660-4E97-B95E-25E4ABB331DD}"/>
                </c:ext>
              </c:extLst>
            </c:dLbl>
            <c:dLbl>
              <c:idx val="16"/>
              <c:layout>
                <c:manualLayout>
                  <c:x val="-2.6431059583580115E-2"/>
                  <c:y val="-5.4076320304387629E-5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237F7DF-56A7-AD43-A37B-43FB2F7C40D8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282040329744239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660-4E97-B95E-25E4ABB331DD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noAutofit/>
              </a:bodyPr>
              <a:lstStyle/>
              <a:p>
                <a:pPr>
                  <a:defRPr sz="12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'Immunization Matrix Chart'!$D$2:$D$18</c:f>
              <c:numCache>
                <c:formatCode>0</c:formatCode>
                <c:ptCount val="17"/>
                <c:pt idx="0">
                  <c:v>-57295</c:v>
                </c:pt>
                <c:pt idx="1">
                  <c:v>-142837</c:v>
                </c:pt>
                <c:pt idx="2">
                  <c:v>8219</c:v>
                </c:pt>
                <c:pt idx="3">
                  <c:v>-19392</c:v>
                </c:pt>
                <c:pt idx="4">
                  <c:v>-49612</c:v>
                </c:pt>
                <c:pt idx="5">
                  <c:v>111897</c:v>
                </c:pt>
                <c:pt idx="6">
                  <c:v>77253</c:v>
                </c:pt>
                <c:pt idx="7">
                  <c:v>31721</c:v>
                </c:pt>
                <c:pt idx="8">
                  <c:v>17766</c:v>
                </c:pt>
                <c:pt idx="9">
                  <c:v>31015</c:v>
                </c:pt>
                <c:pt idx="10">
                  <c:v>0</c:v>
                </c:pt>
                <c:pt idx="11">
                  <c:v>21713</c:v>
                </c:pt>
                <c:pt idx="12">
                  <c:v>-14107</c:v>
                </c:pt>
                <c:pt idx="13">
                  <c:v>-52786</c:v>
                </c:pt>
                <c:pt idx="14">
                  <c:v>-41032</c:v>
                </c:pt>
                <c:pt idx="15">
                  <c:v>-182297</c:v>
                </c:pt>
                <c:pt idx="16">
                  <c:v>107040</c:v>
                </c:pt>
              </c:numCache>
            </c:numRef>
          </c:xVal>
          <c:yVal>
            <c:numRef>
              <c:f>'Immunization Matrix Chart'!$E$2:$E$18</c:f>
              <c:numCache>
                <c:formatCode>0.00%</c:formatCode>
                <c:ptCount val="17"/>
                <c:pt idx="0">
                  <c:v>5.1736910336799224E-2</c:v>
                </c:pt>
                <c:pt idx="1">
                  <c:v>7.0584303267715975E-2</c:v>
                </c:pt>
                <c:pt idx="2">
                  <c:v>3.1990940407626012E-2</c:v>
                </c:pt>
                <c:pt idx="3">
                  <c:v>1.0519550406444811E-3</c:v>
                </c:pt>
                <c:pt idx="4">
                  <c:v>2.4709724238026198E-3</c:v>
                </c:pt>
                <c:pt idx="5">
                  <c:v>0</c:v>
                </c:pt>
                <c:pt idx="6">
                  <c:v>5.8098038767201321E-2</c:v>
                </c:pt>
                <c:pt idx="7">
                  <c:v>-1.069434052411905E-2</c:v>
                </c:pt>
                <c:pt idx="8">
                  <c:v>4.1087352960651691E-2</c:v>
                </c:pt>
                <c:pt idx="9">
                  <c:v>-6.0508442527443335E-2</c:v>
                </c:pt>
                <c:pt idx="10">
                  <c:v>-4.2581854770718408E-2</c:v>
                </c:pt>
                <c:pt idx="11">
                  <c:v>-2.9350104821803114E-3</c:v>
                </c:pt>
                <c:pt idx="12">
                  <c:v>-5.847473824413027E-2</c:v>
                </c:pt>
                <c:pt idx="13">
                  <c:v>-2.4629480670626397E-2</c:v>
                </c:pt>
                <c:pt idx="14">
                  <c:v>-7.6821026850509844E-4</c:v>
                </c:pt>
                <c:pt idx="15">
                  <c:v>3.2661192651336268E-2</c:v>
                </c:pt>
                <c:pt idx="16">
                  <c:v>-0.18852638387843174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'Immunization Matrix Chart'!$A$2:$A$18</c15:f>
                <c15:dlblRangeCache>
                  <c:ptCount val="17"/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IV-A</c:v>
                  </c:pt>
                  <c:pt idx="4">
                    <c:v>IV-B</c:v>
                  </c:pt>
                  <c:pt idx="5">
                    <c:v>V</c:v>
                  </c:pt>
                  <c:pt idx="6">
                    <c:v>VI</c:v>
                  </c:pt>
                  <c:pt idx="7">
                    <c:v>VII</c:v>
                  </c:pt>
                  <c:pt idx="8">
                    <c:v>VIII</c:v>
                  </c:pt>
                  <c:pt idx="9">
                    <c:v>IX</c:v>
                  </c:pt>
                  <c:pt idx="10">
                    <c:v>X</c:v>
                  </c:pt>
                  <c:pt idx="11">
                    <c:v>XI</c:v>
                  </c:pt>
                  <c:pt idx="12">
                    <c:v>XII</c:v>
                  </c:pt>
                  <c:pt idx="13">
                    <c:v>XIII</c:v>
                  </c:pt>
                  <c:pt idx="14">
                    <c:v>NCR</c:v>
                  </c:pt>
                  <c:pt idx="15">
                    <c:v>CAR</c:v>
                  </c:pt>
                  <c:pt idx="16">
                    <c:v>BARMM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C660-4E97-B95E-25E4ABB33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55920"/>
        <c:axId val="1129857632"/>
      </c:scatterChart>
      <c:valAx>
        <c:axId val="11298559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7632"/>
        <c:crosses val="autoZero"/>
        <c:crossBetween val="midCat"/>
      </c:valAx>
      <c:valAx>
        <c:axId val="11298576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'Prenatal Matrix Chart'!$E$1</c:f>
              <c:strCache>
                <c:ptCount val="1"/>
                <c:pt idx="0">
                  <c:v>Adjusted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276311614513269E-2"/>
                  <c:y val="-1.5314827608827856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F65D3B2-AF0C-4BA8-BC99-8BF70F9080E0}" type="CELLRANGE">
                      <a:rPr lang="en-US" b="1"/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047909888632907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203-499A-89DB-06606F4BD5E8}"/>
                </c:ext>
              </c:extLst>
            </c:dLbl>
            <c:dLbl>
              <c:idx val="1"/>
              <c:layout>
                <c:manualLayout>
                  <c:x val="-2.6848352832297653E-2"/>
                  <c:y val="-3.054770348998130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FDF1815-39AB-4A0B-A83C-34DF697B20B0}" type="CELLRANGE">
                      <a:rPr lang="en-US" b="1"/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679653091884258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203-499A-89DB-06606F4BD5E8}"/>
                </c:ext>
              </c:extLst>
            </c:dLbl>
            <c:dLbl>
              <c:idx val="2"/>
              <c:layout>
                <c:manualLayout>
                  <c:x val="-2.8047451679484536E-2"/>
                  <c:y val="-2.0193910395635801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47CE09A-8C7D-4BFC-AA41-A442DB08A3F7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91876047208507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203-499A-89DB-06606F4BD5E8}"/>
                </c:ext>
              </c:extLst>
            </c:dLbl>
            <c:dLbl>
              <c:idx val="3"/>
              <c:layout>
                <c:manualLayout>
                  <c:x val="-2.6410876852805323E-2"/>
                  <c:y val="9.8358818153646815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CEACD2F-653E-4979-8BAD-CFAD3D10217F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3305216954571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203-499A-89DB-06606F4BD5E8}"/>
                </c:ext>
              </c:extLst>
            </c:dLbl>
            <c:dLbl>
              <c:idx val="4"/>
              <c:layout>
                <c:manualLayout>
                  <c:x val="-2.7746484351778448E-2"/>
                  <c:y val="-1.306233709385388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763002A-DC23-421F-AFDD-5CB791561BFA}" type="CELLRANGE">
                      <a:rPr lang="en-US" b="1"/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462273828037754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203-499A-89DB-06606F4BD5E8}"/>
                </c:ext>
              </c:extLst>
            </c:dLbl>
            <c:dLbl>
              <c:idx val="5"/>
              <c:layout>
                <c:manualLayout>
                  <c:x val="-2.1745303389819864E-2"/>
                  <c:y val="-3.553758980794053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>
                            <a:alpha val="99318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D69F98-BCFC-D049-B19E-0B80E981B851}" type="CELLRANGE">
                      <a:rPr lang="en-US" sz="1200" b="1">
                        <a:ln>
                          <a:noFill/>
                        </a:ln>
                        <a:solidFill>
                          <a:schemeClr val="bg1">
                            <a:alpha val="99318"/>
                          </a:schemeClr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>
                              <a:alpha val="99318"/>
                            </a:schemeClr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>
                          <a:alpha val="99318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203-499A-89DB-06606F4BD5E8}"/>
                </c:ext>
              </c:extLst>
            </c:dLbl>
            <c:dLbl>
              <c:idx val="6"/>
              <c:layout>
                <c:manualLayout>
                  <c:x val="-1.6030837255510681E-2"/>
                  <c:y val="-1.1765785902293447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5994850-DD72-4EFB-992B-342BD58056CE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044954158290835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203-499A-89DB-06606F4BD5E8}"/>
                </c:ext>
              </c:extLst>
            </c:dLbl>
            <c:dLbl>
              <c:idx val="7"/>
              <c:layout>
                <c:manualLayout>
                  <c:x val="-1.4613275637633682E-2"/>
                  <c:y val="1.470797112541190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E740940-E143-48B6-9124-277CF53AA39D}" type="CELLRANGE">
                      <a:rPr lang="en-US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203-499A-89DB-06606F4BD5E8}"/>
                </c:ext>
              </c:extLst>
            </c:dLbl>
            <c:dLbl>
              <c:idx val="8"/>
              <c:layout>
                <c:manualLayout>
                  <c:x val="-2.572741619702075E-2"/>
                  <c:y val="-2.2571101496229772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A0609B0-3ABD-4CC3-82ED-A7B627E7F135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31722017500017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203-499A-89DB-06606F4BD5E8}"/>
                </c:ext>
              </c:extLst>
            </c:dLbl>
            <c:dLbl>
              <c:idx val="9"/>
              <c:layout>
                <c:manualLayout>
                  <c:x val="-4.2419899892161862E-2"/>
                  <c:y val="5.9548766572727896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C4AE6B0-7C71-4C35-8E72-4FB1C46A6CBE}" type="CELLRANGE">
                      <a:rPr lang="en-US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203-499A-89DB-06606F4BD5E8}"/>
                </c:ext>
              </c:extLst>
            </c:dLbl>
            <c:dLbl>
              <c:idx val="10"/>
              <c:layout>
                <c:manualLayout>
                  <c:x val="-1.1528192339222532E-2"/>
                  <c:y val="-2.006911131034320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8FC9CE6-CC0D-43B3-B417-958A039CFF4D}" type="CELLRANGE">
                      <a:rPr lang="en-US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856047831109244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203-499A-89DB-06606F4BD5E8}"/>
                </c:ext>
              </c:extLst>
            </c:dLbl>
            <c:dLbl>
              <c:idx val="11"/>
              <c:layout>
                <c:manualLayout>
                  <c:x val="-3.6418759126569694E-2"/>
                  <c:y val="1.258737167216388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2BA909-6DCC-4221-BA18-6DF0E9069A20}" type="CELLRANGE">
                      <a:rPr lang="en-US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136530180032404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203-499A-89DB-06606F4BD5E8}"/>
                </c:ext>
              </c:extLst>
            </c:dLbl>
            <c:dLbl>
              <c:idx val="12"/>
              <c:layout>
                <c:manualLayout>
                  <c:x val="-3.7191020675771291E-2"/>
                  <c:y val="1.3086345205289141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998073-C789-41E1-A241-BDBEBE00F18C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29652076631749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203-499A-89DB-06606F4BD5E8}"/>
                </c:ext>
              </c:extLst>
            </c:dLbl>
            <c:dLbl>
              <c:idx val="13"/>
              <c:layout>
                <c:manualLayout>
                  <c:x val="-3.7584220089131828E-2"/>
                  <c:y val="-2.331940350962213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9FEBE6-2880-4A1A-8506-3D74F84BEAF0}" type="CELLRANGE">
                      <a:rPr lang="en-US" b="1"/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7069007337969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203-499A-89DB-06606F4BD5E8}"/>
                </c:ext>
              </c:extLst>
            </c:dLbl>
            <c:dLbl>
              <c:idx val="14"/>
              <c:layout>
                <c:manualLayout>
                  <c:x val="-1.3004895474248972E-2"/>
                  <c:y val="-1.606322812189294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244CCE8-90B7-481C-80BA-1B4504B9853A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30894256435172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203-499A-89DB-06606F4BD5E8}"/>
                </c:ext>
              </c:extLst>
            </c:dLbl>
            <c:dLbl>
              <c:idx val="15"/>
              <c:layout>
                <c:manualLayout>
                  <c:x val="-1.9360119291425022E-2"/>
                  <c:y val="-8.3080849803613983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3D9AD63-63FE-4FFF-A70C-FCA611EA69AC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958724236132567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203-499A-89DB-06606F4BD5E8}"/>
                </c:ext>
              </c:extLst>
            </c:dLbl>
            <c:dLbl>
              <c:idx val="16"/>
              <c:layout>
                <c:manualLayout>
                  <c:x val="-2.6431059583580115E-2"/>
                  <c:y val="-5.4076320304387629E-5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237F7DF-56A7-AD43-A37B-43FB2F7C40D8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282040329744239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6203-499A-89DB-06606F4BD5E8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noAutofit/>
              </a:bodyPr>
              <a:lstStyle/>
              <a:p>
                <a:pPr>
                  <a:defRPr sz="12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'Prenatal Matrix Chart'!$D$2:$D$18</c:f>
              <c:numCache>
                <c:formatCode>0</c:formatCode>
                <c:ptCount val="17"/>
                <c:pt idx="0">
                  <c:v>-57295</c:v>
                </c:pt>
                <c:pt idx="1">
                  <c:v>-142837</c:v>
                </c:pt>
                <c:pt idx="2">
                  <c:v>8219</c:v>
                </c:pt>
                <c:pt idx="3">
                  <c:v>-19392</c:v>
                </c:pt>
                <c:pt idx="4">
                  <c:v>-49612</c:v>
                </c:pt>
                <c:pt idx="5">
                  <c:v>111897</c:v>
                </c:pt>
                <c:pt idx="6">
                  <c:v>77253</c:v>
                </c:pt>
                <c:pt idx="7">
                  <c:v>31721</c:v>
                </c:pt>
                <c:pt idx="8">
                  <c:v>17766</c:v>
                </c:pt>
                <c:pt idx="9">
                  <c:v>31015</c:v>
                </c:pt>
                <c:pt idx="10">
                  <c:v>0</c:v>
                </c:pt>
                <c:pt idx="11">
                  <c:v>21713</c:v>
                </c:pt>
                <c:pt idx="12">
                  <c:v>-14107</c:v>
                </c:pt>
                <c:pt idx="13">
                  <c:v>-52786</c:v>
                </c:pt>
                <c:pt idx="14">
                  <c:v>-41032</c:v>
                </c:pt>
                <c:pt idx="15">
                  <c:v>-182297</c:v>
                </c:pt>
                <c:pt idx="16">
                  <c:v>107040</c:v>
                </c:pt>
              </c:numCache>
            </c:numRef>
          </c:xVal>
          <c:yVal>
            <c:numRef>
              <c:f>'Prenatal Matrix Chart'!$E$2:$E$18</c:f>
              <c:numCache>
                <c:formatCode>0.00%</c:formatCode>
                <c:ptCount val="17"/>
                <c:pt idx="0">
                  <c:v>5.1736910336799224E-2</c:v>
                </c:pt>
                <c:pt idx="1">
                  <c:v>2.6050403964443414E-2</c:v>
                </c:pt>
                <c:pt idx="2">
                  <c:v>3.3994970361056476E-3</c:v>
                </c:pt>
                <c:pt idx="3">
                  <c:v>2.4974267295086394E-2</c:v>
                </c:pt>
                <c:pt idx="4">
                  <c:v>-4.2592153212510586E-2</c:v>
                </c:pt>
                <c:pt idx="5">
                  <c:v>-5.0958808637989517E-2</c:v>
                </c:pt>
                <c:pt idx="6">
                  <c:v>4.7584556458856064E-2</c:v>
                </c:pt>
                <c:pt idx="7">
                  <c:v>-2.0160835091924345E-2</c:v>
                </c:pt>
                <c:pt idx="8">
                  <c:v>1.9903720557872984E-2</c:v>
                </c:pt>
                <c:pt idx="9">
                  <c:v>-9.4643377184436522E-2</c:v>
                </c:pt>
                <c:pt idx="10">
                  <c:v>-5.1719116328990289E-2</c:v>
                </c:pt>
                <c:pt idx="11">
                  <c:v>-1.4467772146952995E-2</c:v>
                </c:pt>
                <c:pt idx="12">
                  <c:v>-7.6740443115276169E-2</c:v>
                </c:pt>
                <c:pt idx="13">
                  <c:v>0</c:v>
                </c:pt>
                <c:pt idx="14">
                  <c:v>5.1796827946195556E-3</c:v>
                </c:pt>
                <c:pt idx="15">
                  <c:v>3.2992036405005698E-2</c:v>
                </c:pt>
                <c:pt idx="16">
                  <c:v>-0.14297589991324103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'Prenatal Matrix Chart'!$A$2:$A$18</c15:f>
                <c15:dlblRangeCache>
                  <c:ptCount val="17"/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IV-A</c:v>
                  </c:pt>
                  <c:pt idx="4">
                    <c:v>IV-B</c:v>
                  </c:pt>
                  <c:pt idx="5">
                    <c:v>V</c:v>
                  </c:pt>
                  <c:pt idx="6">
                    <c:v>VI</c:v>
                  </c:pt>
                  <c:pt idx="7">
                    <c:v>VII</c:v>
                  </c:pt>
                  <c:pt idx="8">
                    <c:v>VIII</c:v>
                  </c:pt>
                  <c:pt idx="9">
                    <c:v>IX</c:v>
                  </c:pt>
                  <c:pt idx="10">
                    <c:v>X</c:v>
                  </c:pt>
                  <c:pt idx="11">
                    <c:v>XI</c:v>
                  </c:pt>
                  <c:pt idx="12">
                    <c:v>XII</c:v>
                  </c:pt>
                  <c:pt idx="13">
                    <c:v>XIII</c:v>
                  </c:pt>
                  <c:pt idx="14">
                    <c:v>NCR</c:v>
                  </c:pt>
                  <c:pt idx="15">
                    <c:v>CAR</c:v>
                  </c:pt>
                  <c:pt idx="16">
                    <c:v>BARMM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6203-499A-89DB-06606F4BD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55920"/>
        <c:axId val="1129857632"/>
      </c:scatterChart>
      <c:valAx>
        <c:axId val="11298559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7632"/>
        <c:crosses val="autoZero"/>
        <c:crossBetween val="midCat"/>
      </c:valAx>
      <c:valAx>
        <c:axId val="11298576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6351</xdr:colOff>
      <xdr:row>0</xdr:row>
      <xdr:rowOff>196851</xdr:rowOff>
    </xdr:from>
    <xdr:to>
      <xdr:col>16</xdr:col>
      <xdr:colOff>364788</xdr:colOff>
      <xdr:row>29</xdr:row>
      <xdr:rowOff>108086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C351D-77E3-49AB-B039-DA70B8A6E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6351</xdr:colOff>
      <xdr:row>0</xdr:row>
      <xdr:rowOff>196851</xdr:rowOff>
    </xdr:from>
    <xdr:to>
      <xdr:col>16</xdr:col>
      <xdr:colOff>364788</xdr:colOff>
      <xdr:row>29</xdr:row>
      <xdr:rowOff>108086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84530-6A23-41E2-A833-EB9AC9C5D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C13C-A1DC-405D-AA79-B8E442BB1BAC}">
  <dimension ref="A1:E20"/>
  <sheetViews>
    <sheetView topLeftCell="F1" zoomScale="88" zoomScaleNormal="94" workbookViewId="0">
      <selection activeCell="T26" sqref="T26"/>
    </sheetView>
  </sheetViews>
  <sheetFormatPr defaultColWidth="11.07421875" defaultRowHeight="12.45" x14ac:dyDescent="0.3"/>
  <cols>
    <col min="2" max="2" width="28.3046875" bestFit="1" customWidth="1"/>
    <col min="3" max="3" width="24.15234375" bestFit="1" customWidth="1"/>
    <col min="4" max="5" width="11.4609375" bestFit="1" customWidth="1"/>
  </cols>
  <sheetData>
    <row r="1" spans="1:5" ht="15.45" x14ac:dyDescent="0.4">
      <c r="A1" s="2" t="s">
        <v>0</v>
      </c>
      <c r="B1" s="2" t="s">
        <v>21</v>
      </c>
      <c r="C1" s="2" t="s">
        <v>20</v>
      </c>
      <c r="D1" s="4" t="s">
        <v>18</v>
      </c>
      <c r="E1" s="4" t="s">
        <v>19</v>
      </c>
    </row>
    <row r="2" spans="1:5" ht="15" x14ac:dyDescent="0.35">
      <c r="A2" s="1" t="s">
        <v>4</v>
      </c>
      <c r="B2" s="3">
        <v>175110</v>
      </c>
      <c r="C2" s="7">
        <v>0.28088578088578087</v>
      </c>
      <c r="D2" s="5">
        <f>B2-(MEDIAN($B$2:$B$18))</f>
        <v>-57295</v>
      </c>
      <c r="E2" s="8">
        <f>'Prenatal Matrix Chart'!$E$2</f>
        <v>5.1736910336799224E-2</v>
      </c>
    </row>
    <row r="3" spans="1:5" ht="15" x14ac:dyDescent="0.35">
      <c r="A3" s="1" t="s">
        <v>5</v>
      </c>
      <c r="B3" s="3">
        <v>89568</v>
      </c>
      <c r="C3" s="7">
        <v>0.34253640776699029</v>
      </c>
      <c r="D3" s="5">
        <f t="shared" ref="D3:D18" si="0">B3-(MEDIAN($B$2:$B$18))</f>
        <v>-142837</v>
      </c>
      <c r="E3" s="8">
        <f t="shared" ref="E3:E18" si="1" xml:space="preserve"> C3 - MEDIAN($C$2:$C$18)</f>
        <v>7.0584303267715975E-2</v>
      </c>
    </row>
    <row r="4" spans="1:5" ht="15" x14ac:dyDescent="0.35">
      <c r="A4" s="1" t="s">
        <v>6</v>
      </c>
      <c r="B4" s="3">
        <v>240624</v>
      </c>
      <c r="C4" s="7">
        <v>0.30394304490690033</v>
      </c>
      <c r="D4" s="5">
        <f t="shared" si="0"/>
        <v>8219</v>
      </c>
      <c r="E4" s="8">
        <f t="shared" si="1"/>
        <v>3.1990940407626012E-2</v>
      </c>
    </row>
    <row r="5" spans="1:5" ht="15" x14ac:dyDescent="0.35">
      <c r="A5" s="1" t="s">
        <v>7</v>
      </c>
      <c r="B5" s="3">
        <v>213013</v>
      </c>
      <c r="C5" s="7">
        <v>0.2730040595399188</v>
      </c>
      <c r="D5" s="5">
        <f t="shared" si="0"/>
        <v>-19392</v>
      </c>
      <c r="E5" s="8">
        <f t="shared" si="1"/>
        <v>1.0519550406444811E-3</v>
      </c>
    </row>
    <row r="6" spans="1:5" ht="15" x14ac:dyDescent="0.35">
      <c r="A6" s="1" t="s">
        <v>17</v>
      </c>
      <c r="B6" s="3">
        <v>182793</v>
      </c>
      <c r="C6" s="7">
        <v>0.27442307692307694</v>
      </c>
      <c r="D6" s="5">
        <f t="shared" si="0"/>
        <v>-49612</v>
      </c>
      <c r="E6" s="8">
        <f t="shared" si="1"/>
        <v>2.4709724238026198E-3</v>
      </c>
    </row>
    <row r="7" spans="1:5" ht="15" x14ac:dyDescent="0.35">
      <c r="A7" s="1" t="s">
        <v>9</v>
      </c>
      <c r="B7" s="3">
        <v>344302</v>
      </c>
      <c r="C7" s="7">
        <v>0.27195210449927432</v>
      </c>
      <c r="D7" s="5">
        <f t="shared" si="0"/>
        <v>111897</v>
      </c>
      <c r="E7" s="8">
        <f t="shared" si="1"/>
        <v>0</v>
      </c>
    </row>
    <row r="8" spans="1:5" ht="15" x14ac:dyDescent="0.35">
      <c r="A8" s="1" t="s">
        <v>10</v>
      </c>
      <c r="B8" s="3">
        <v>309658</v>
      </c>
      <c r="C8" s="7">
        <v>0.33005014326647564</v>
      </c>
      <c r="D8" s="5">
        <f t="shared" si="0"/>
        <v>77253</v>
      </c>
      <c r="E8" s="8">
        <f t="shared" si="1"/>
        <v>5.8098038767201321E-2</v>
      </c>
    </row>
    <row r="9" spans="1:5" ht="15" x14ac:dyDescent="0.35">
      <c r="A9" s="1" t="s">
        <v>11</v>
      </c>
      <c r="B9" s="3">
        <v>264126</v>
      </c>
      <c r="C9" s="7">
        <v>0.26125776397515527</v>
      </c>
      <c r="D9" s="5">
        <f t="shared" si="0"/>
        <v>31721</v>
      </c>
      <c r="E9" s="8">
        <f t="shared" si="1"/>
        <v>-1.069434052411905E-2</v>
      </c>
    </row>
    <row r="10" spans="1:5" ht="15" x14ac:dyDescent="0.35">
      <c r="A10" s="1" t="s">
        <v>12</v>
      </c>
      <c r="B10" s="3">
        <v>250171</v>
      </c>
      <c r="C10" s="7">
        <v>0.31303945745992601</v>
      </c>
      <c r="D10" s="5">
        <f t="shared" si="0"/>
        <v>17766</v>
      </c>
      <c r="E10" s="8">
        <f t="shared" si="1"/>
        <v>4.1087352960651691E-2</v>
      </c>
    </row>
    <row r="11" spans="1:5" ht="15" x14ac:dyDescent="0.35">
      <c r="A11" s="1" t="s">
        <v>8</v>
      </c>
      <c r="B11" s="3">
        <v>263420</v>
      </c>
      <c r="C11" s="7">
        <v>0.21144366197183098</v>
      </c>
      <c r="D11" s="5">
        <f t="shared" si="0"/>
        <v>31015</v>
      </c>
      <c r="E11" s="8">
        <f t="shared" si="1"/>
        <v>-6.0508442527443335E-2</v>
      </c>
    </row>
    <row r="12" spans="1:5" ht="15" x14ac:dyDescent="0.35">
      <c r="A12" s="1" t="s">
        <v>13</v>
      </c>
      <c r="B12" s="3">
        <v>232405</v>
      </c>
      <c r="C12" s="7">
        <v>0.22937024972855591</v>
      </c>
      <c r="D12" s="5">
        <f t="shared" si="0"/>
        <v>0</v>
      </c>
      <c r="E12" s="8">
        <f t="shared" si="1"/>
        <v>-4.2581854770718408E-2</v>
      </c>
    </row>
    <row r="13" spans="1:5" ht="15" x14ac:dyDescent="0.35">
      <c r="A13" s="1" t="s">
        <v>14</v>
      </c>
      <c r="B13" s="3">
        <v>254118</v>
      </c>
      <c r="C13" s="7">
        <v>0.26901709401709401</v>
      </c>
      <c r="D13" s="5">
        <f t="shared" si="0"/>
        <v>21713</v>
      </c>
      <c r="E13" s="8">
        <f t="shared" si="1"/>
        <v>-2.9350104821803114E-3</v>
      </c>
    </row>
    <row r="14" spans="1:5" ht="15" x14ac:dyDescent="0.35">
      <c r="A14" s="1" t="s">
        <v>15</v>
      </c>
      <c r="B14" s="3">
        <v>218298</v>
      </c>
      <c r="C14" s="7">
        <v>0.21347736625514405</v>
      </c>
      <c r="D14" s="5">
        <f t="shared" si="0"/>
        <v>-14107</v>
      </c>
      <c r="E14" s="8">
        <f t="shared" si="1"/>
        <v>-5.847473824413027E-2</v>
      </c>
    </row>
    <row r="15" spans="1:5" ht="15" x14ac:dyDescent="0.35">
      <c r="A15" s="1" t="s">
        <v>16</v>
      </c>
      <c r="B15" s="3">
        <v>179619</v>
      </c>
      <c r="C15" s="7">
        <v>0.24732262382864792</v>
      </c>
      <c r="D15" s="5">
        <f t="shared" si="0"/>
        <v>-52786</v>
      </c>
      <c r="E15" s="8">
        <f t="shared" si="1"/>
        <v>-2.4629480670626397E-2</v>
      </c>
    </row>
    <row r="16" spans="1:5" ht="15" x14ac:dyDescent="0.35">
      <c r="A16" s="1" t="s">
        <v>1</v>
      </c>
      <c r="B16" s="3">
        <v>191373</v>
      </c>
      <c r="C16" s="7">
        <v>0.27118389423076922</v>
      </c>
      <c r="D16" s="5">
        <f t="shared" si="0"/>
        <v>-41032</v>
      </c>
      <c r="E16" s="8">
        <f t="shared" si="1"/>
        <v>-7.6821026850509844E-4</v>
      </c>
    </row>
    <row r="17" spans="1:5" ht="15" x14ac:dyDescent="0.35">
      <c r="A17" s="1" t="s">
        <v>3</v>
      </c>
      <c r="B17" s="3">
        <v>50108</v>
      </c>
      <c r="C17" s="7">
        <v>0.30461329715061058</v>
      </c>
      <c r="D17" s="5">
        <f>B17-(MEDIAN($B$2:$B$18))</f>
        <v>-182297</v>
      </c>
      <c r="E17" s="8">
        <f t="shared" si="1"/>
        <v>3.2661192651336268E-2</v>
      </c>
    </row>
    <row r="18" spans="1:5" ht="15" x14ac:dyDescent="0.35">
      <c r="A18" s="1" t="s">
        <v>2</v>
      </c>
      <c r="B18" s="3">
        <v>339445</v>
      </c>
      <c r="C18" s="7">
        <v>8.3425720620842567E-2</v>
      </c>
      <c r="D18" s="5">
        <f t="shared" si="0"/>
        <v>107040</v>
      </c>
      <c r="E18" s="8">
        <f t="shared" si="1"/>
        <v>-0.18852638387843174</v>
      </c>
    </row>
    <row r="20" spans="1:5" x14ac:dyDescent="0.3">
      <c r="C2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3AD8-7E3C-48E1-B9E8-61A100E7F10D}">
  <dimension ref="A1:E20"/>
  <sheetViews>
    <sheetView tabSelected="1" topLeftCell="E1" zoomScale="86" zoomScaleNormal="94" workbookViewId="0">
      <selection activeCell="S13" sqref="S13"/>
    </sheetView>
  </sheetViews>
  <sheetFormatPr defaultColWidth="11.07421875" defaultRowHeight="12.45" x14ac:dyDescent="0.3"/>
  <cols>
    <col min="2" max="2" width="28.3046875" bestFit="1" customWidth="1"/>
    <col min="3" max="3" width="24.15234375" bestFit="1" customWidth="1"/>
    <col min="4" max="5" width="11.4609375" bestFit="1" customWidth="1"/>
  </cols>
  <sheetData>
    <row r="1" spans="1:5" ht="15.45" x14ac:dyDescent="0.4">
      <c r="A1" s="2" t="s">
        <v>22</v>
      </c>
      <c r="B1" s="2" t="s">
        <v>23</v>
      </c>
      <c r="C1" s="2" t="s">
        <v>24</v>
      </c>
      <c r="D1" s="4" t="s">
        <v>18</v>
      </c>
      <c r="E1" s="4" t="s">
        <v>19</v>
      </c>
    </row>
    <row r="2" spans="1:5" ht="15" x14ac:dyDescent="0.35">
      <c r="A2" s="1" t="s">
        <v>4</v>
      </c>
      <c r="B2" s="3">
        <v>175110</v>
      </c>
      <c r="C2" s="7">
        <v>0.37596899224806202</v>
      </c>
      <c r="D2" s="5">
        <f>B2-(MEDIAN($B$2:$B$18))</f>
        <v>-57295</v>
      </c>
      <c r="E2" s="8">
        <f xml:space="preserve"> C2 - MEDIAN($C$2:$C$18)</f>
        <v>5.1736910336799224E-2</v>
      </c>
    </row>
    <row r="3" spans="1:5" ht="15" x14ac:dyDescent="0.35">
      <c r="A3" s="1" t="s">
        <v>5</v>
      </c>
      <c r="B3" s="3">
        <v>89568</v>
      </c>
      <c r="C3" s="7">
        <v>0.35028248587570621</v>
      </c>
      <c r="D3" s="5">
        <f t="shared" ref="D3:D18" si="0">B3-(MEDIAN($B$2:$B$18))</f>
        <v>-142837</v>
      </c>
      <c r="E3" s="8">
        <f t="shared" ref="E3:E18" si="1" xml:space="preserve"> C3 - MEDIAN($C$2:$C$18)</f>
        <v>2.6050403964443414E-2</v>
      </c>
    </row>
    <row r="4" spans="1:5" ht="15" x14ac:dyDescent="0.35">
      <c r="A4" s="1" t="s">
        <v>6</v>
      </c>
      <c r="B4" s="3">
        <v>240624</v>
      </c>
      <c r="C4" s="7">
        <v>0.32763157894736844</v>
      </c>
      <c r="D4" s="5">
        <f t="shared" si="0"/>
        <v>8219</v>
      </c>
      <c r="E4" s="8">
        <f t="shared" si="1"/>
        <v>3.3994970361056476E-3</v>
      </c>
    </row>
    <row r="5" spans="1:5" ht="15" x14ac:dyDescent="0.35">
      <c r="A5" s="1" t="s">
        <v>7</v>
      </c>
      <c r="B5" s="3">
        <v>213013</v>
      </c>
      <c r="C5" s="7">
        <v>0.34920634920634919</v>
      </c>
      <c r="D5" s="5">
        <f t="shared" si="0"/>
        <v>-19392</v>
      </c>
      <c r="E5" s="8">
        <f t="shared" si="1"/>
        <v>2.4974267295086394E-2</v>
      </c>
    </row>
    <row r="6" spans="1:5" ht="15" x14ac:dyDescent="0.35">
      <c r="A6" s="1" t="s">
        <v>17</v>
      </c>
      <c r="B6" s="3">
        <v>182793</v>
      </c>
      <c r="C6" s="7">
        <v>0.28163992869875221</v>
      </c>
      <c r="D6" s="5">
        <f t="shared" si="0"/>
        <v>-49612</v>
      </c>
      <c r="E6" s="8">
        <f t="shared" si="1"/>
        <v>-4.2592153212510586E-2</v>
      </c>
    </row>
    <row r="7" spans="1:5" ht="15" x14ac:dyDescent="0.35">
      <c r="A7" s="1" t="s">
        <v>9</v>
      </c>
      <c r="B7" s="3">
        <v>344302</v>
      </c>
      <c r="C7" s="7">
        <v>0.27327327327327328</v>
      </c>
      <c r="D7" s="5">
        <f t="shared" si="0"/>
        <v>111897</v>
      </c>
      <c r="E7" s="8">
        <f t="shared" si="1"/>
        <v>-5.0958808637989517E-2</v>
      </c>
    </row>
    <row r="8" spans="1:5" ht="15" x14ac:dyDescent="0.35">
      <c r="A8" s="1" t="s">
        <v>10</v>
      </c>
      <c r="B8" s="3">
        <v>309658</v>
      </c>
      <c r="C8" s="7">
        <v>0.37181663837011886</v>
      </c>
      <c r="D8" s="5">
        <f t="shared" si="0"/>
        <v>77253</v>
      </c>
      <c r="E8" s="8">
        <f t="shared" si="1"/>
        <v>4.7584556458856064E-2</v>
      </c>
    </row>
    <row r="9" spans="1:5" ht="15" x14ac:dyDescent="0.35">
      <c r="A9" s="1" t="s">
        <v>11</v>
      </c>
      <c r="B9" s="3">
        <v>264126</v>
      </c>
      <c r="C9" s="7">
        <v>0.30407124681933845</v>
      </c>
      <c r="D9" s="5">
        <f t="shared" si="0"/>
        <v>31721</v>
      </c>
      <c r="E9" s="8">
        <f t="shared" si="1"/>
        <v>-2.0160835091924345E-2</v>
      </c>
    </row>
    <row r="10" spans="1:5" ht="15" x14ac:dyDescent="0.35">
      <c r="A10" s="1" t="s">
        <v>12</v>
      </c>
      <c r="B10" s="3">
        <v>250171</v>
      </c>
      <c r="C10" s="7">
        <v>0.34413580246913578</v>
      </c>
      <c r="D10" s="5">
        <f t="shared" si="0"/>
        <v>17766</v>
      </c>
      <c r="E10" s="8">
        <f t="shared" si="1"/>
        <v>1.9903720557872984E-2</v>
      </c>
    </row>
    <row r="11" spans="1:5" ht="15" x14ac:dyDescent="0.35">
      <c r="A11" s="1" t="s">
        <v>8</v>
      </c>
      <c r="B11" s="3">
        <v>263420</v>
      </c>
      <c r="C11" s="7">
        <v>0.22958870472682627</v>
      </c>
      <c r="D11" s="5">
        <f t="shared" si="0"/>
        <v>31015</v>
      </c>
      <c r="E11" s="8">
        <f t="shared" si="1"/>
        <v>-9.4643377184436522E-2</v>
      </c>
    </row>
    <row r="12" spans="1:5" ht="15" x14ac:dyDescent="0.35">
      <c r="A12" s="1" t="s">
        <v>13</v>
      </c>
      <c r="B12" s="3">
        <v>232405</v>
      </c>
      <c r="C12" s="7">
        <v>0.2725129655822725</v>
      </c>
      <c r="D12" s="5">
        <f t="shared" si="0"/>
        <v>0</v>
      </c>
      <c r="E12" s="8">
        <f t="shared" si="1"/>
        <v>-5.1719116328990289E-2</v>
      </c>
    </row>
    <row r="13" spans="1:5" ht="15" x14ac:dyDescent="0.35">
      <c r="A13" s="1" t="s">
        <v>14</v>
      </c>
      <c r="B13" s="3">
        <v>254118</v>
      </c>
      <c r="C13" s="7">
        <v>0.3097643097643098</v>
      </c>
      <c r="D13" s="5">
        <f t="shared" si="0"/>
        <v>21713</v>
      </c>
      <c r="E13" s="8">
        <f t="shared" si="1"/>
        <v>-1.4467772146952995E-2</v>
      </c>
    </row>
    <row r="14" spans="1:5" ht="15" x14ac:dyDescent="0.35">
      <c r="A14" s="1" t="s">
        <v>15</v>
      </c>
      <c r="B14" s="3">
        <v>218298</v>
      </c>
      <c r="C14" s="7">
        <v>0.24749163879598662</v>
      </c>
      <c r="D14" s="5">
        <f t="shared" si="0"/>
        <v>-14107</v>
      </c>
      <c r="E14" s="8">
        <f t="shared" si="1"/>
        <v>-7.6740443115276169E-2</v>
      </c>
    </row>
    <row r="15" spans="1:5" ht="15" x14ac:dyDescent="0.35">
      <c r="A15" s="1" t="s">
        <v>16</v>
      </c>
      <c r="B15" s="3">
        <v>179619</v>
      </c>
      <c r="C15" s="7">
        <v>0.32423208191126279</v>
      </c>
      <c r="D15" s="5">
        <f t="shared" si="0"/>
        <v>-52786</v>
      </c>
      <c r="E15" s="8">
        <f t="shared" si="1"/>
        <v>0</v>
      </c>
    </row>
    <row r="16" spans="1:5" ht="15" x14ac:dyDescent="0.35">
      <c r="A16" s="1" t="s">
        <v>1</v>
      </c>
      <c r="B16" s="3">
        <v>191373</v>
      </c>
      <c r="C16" s="7">
        <v>0.32941176470588235</v>
      </c>
      <c r="D16" s="5">
        <f t="shared" si="0"/>
        <v>-41032</v>
      </c>
      <c r="E16" s="8">
        <f t="shared" si="1"/>
        <v>5.1796827946195556E-3</v>
      </c>
    </row>
    <row r="17" spans="1:5" ht="15" x14ac:dyDescent="0.35">
      <c r="A17" s="1" t="s">
        <v>3</v>
      </c>
      <c r="B17" s="3">
        <v>50108</v>
      </c>
      <c r="C17" s="7">
        <v>0.35722411831626849</v>
      </c>
      <c r="D17" s="5">
        <f>B17-(MEDIAN($B$2:$B$18))</f>
        <v>-182297</v>
      </c>
      <c r="E17" s="8">
        <f t="shared" si="1"/>
        <v>3.2992036405005698E-2</v>
      </c>
    </row>
    <row r="18" spans="1:5" ht="15" x14ac:dyDescent="0.35">
      <c r="A18" s="1" t="s">
        <v>2</v>
      </c>
      <c r="B18" s="3">
        <v>339445</v>
      </c>
      <c r="C18" s="7">
        <v>0.18125618199802176</v>
      </c>
      <c r="D18" s="5">
        <f t="shared" si="0"/>
        <v>107040</v>
      </c>
      <c r="E18" s="8">
        <f t="shared" si="1"/>
        <v>-0.14297589991324103</v>
      </c>
    </row>
    <row r="20" spans="1:5" x14ac:dyDescent="0.3">
      <c r="C2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Immunization Matrix Chart</vt:lpstr>
      <vt:lpstr>Prenatal Matrix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MARICAR LARA</cp:lastModifiedBy>
  <dcterms:created xsi:type="dcterms:W3CDTF">2025-11-04T11:35:45Z</dcterms:created>
  <dcterms:modified xsi:type="dcterms:W3CDTF">2025-11-17T03:20:43Z</dcterms:modified>
</cp:coreProperties>
</file>