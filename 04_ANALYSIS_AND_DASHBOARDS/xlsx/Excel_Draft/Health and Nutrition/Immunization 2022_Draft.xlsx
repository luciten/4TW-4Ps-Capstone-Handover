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icar G. Lara\Dropbox\PC\Desktop\"/>
    </mc:Choice>
  </mc:AlternateContent>
  <xr:revisionPtr revIDLastSave="0" documentId="13_ncr:1_{9F01DACD-10D0-42A2-99C7-F54391354943}" xr6:coauthVersionLast="47" xr6:coauthVersionMax="47" xr10:uidLastSave="{00000000-0000-0000-0000-000000000000}"/>
  <bookViews>
    <workbookView xWindow="-103" yWindow="-103" windowWidth="19543" windowHeight="12377" xr2:uid="{FD85E0DE-D477-4E89-A202-4D29E01614E7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<sst xmlns="http://schemas.openxmlformats.org/spreadsheetml/2006/main" count="71" uniqueCount="39">
  <si>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Region</t>
  </si>
  <si>
    <t>Total Children (5 and under)</t>
  </si>
  <si>
    <t>With Health Card/Vaccine Doc</t>
  </si>
  <si>
    <t>Received Hepatitis B at birth</t>
  </si>
  <si>
    <t>Received Pentavalent 1</t>
  </si>
  <si>
    <t>Received Pentavalent 2</t>
  </si>
  <si>
    <t>Received Pentavalent 3</t>
  </si>
  <si>
    <t>Received Pneumococcal 1</t>
  </si>
  <si>
    <t>Received Pneumococcal 2</t>
  </si>
  <si>
    <t>Received Pneumococcal 3</t>
  </si>
  <si>
    <t>Received MEASLES 2</t>
  </si>
  <si>
    <t>Total Vaccinated</t>
  </si>
  <si>
    <t>Average Vaccinated</t>
  </si>
  <si>
    <t>Immunization Rate</t>
  </si>
  <si>
    <t>Category</t>
  </si>
  <si>
    <t>NCR</t>
  </si>
  <si>
    <t>CAR</t>
  </si>
  <si>
    <t>I</t>
  </si>
  <si>
    <t>II</t>
  </si>
  <si>
    <t>III</t>
  </si>
  <si>
    <t>IV-A</t>
  </si>
  <si>
    <t>MIMAROPA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</si>
  <si>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</si>
  <si>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</si>
  <si>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</si>
  <si>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</si>
  <si>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</si>
  <si>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</si>
  <si>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</si>
  <si>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</si>
  <si>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</si>
  <si>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BARMM</t>
  </si>
  <si>
    <t>MEDIAN</t>
  </si>
  <si>
    <t>LOW</t>
  </si>
  <si>
    <t>HIGH</t>
  </si>
  <si>
    <t>Percent</t>
  </si>
  <si>
    <t>Row Labels</t>
  </si>
  <si>
    <t>Grand Total</t>
  </si>
  <si>
    <t>Sum of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</si>
</sst>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center"/>
    </xf>
    <xf numFmtId="0" fontId="1" fillId="0" borderId="1" xfId="0" applyFont="1" applyBorder="1"/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39728"/>
        <c:axId val="148240208"/>
      </c:barChart>
      <c:catAx>
        <c:axId val="14823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0208"/>
        <c:crosses val="autoZero"/>
        <c:auto val="1"/>
        <c:lblAlgn val="ctr"/>
        <c:lblOffset val="100"/>
        <c:noMultiLvlLbl val="0"/>
      </c:catAx>
      <c:valAx>
        <c:axId val="1482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[Immunization 2022.xlsx]Sheet2!PivotTable1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Immunization Rate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60D-4BF5-9618-65643F05EEA2}"/>
              </c:ext>
            </c:extLst>
          </c:dPt>
          <c:cat>
            <c:strRef>
              <c:f>Sheet2!$A$4:$A$21</c:f>
              <c:strCache>
                <c:ptCount val="17"/>
                <c:pt idx="0">
                  <c:v>BARMM</c:v>
                </c:pt>
                <c:pt idx="1">
                  <c:v>CAR</c:v>
                </c:pt>
                <c:pt idx="2">
                  <c:v>I</c:v>
                </c:pt>
                <c:pt idx="3">
                  <c:v>II</c:v>
                </c:pt>
                <c:pt idx="4">
                  <c:v>III</c:v>
                </c:pt>
                <c:pt idx="5">
                  <c:v>IV-A</c:v>
                </c:pt>
                <c:pt idx="6">
                  <c:v>IX</c:v>
                </c:pt>
                <c:pt idx="7">
                  <c:v>MIMAROPA</c:v>
                </c:pt>
                <c:pt idx="8">
                  <c:v>NCR</c:v>
                </c:pt>
                <c:pt idx="9">
                  <c:v>V</c:v>
                </c:pt>
                <c:pt idx="10">
                  <c:v>VI</c:v>
                </c:pt>
                <c:pt idx="11">
                  <c:v>VII</c:v>
                </c:pt>
                <c:pt idx="12">
                  <c:v>VIII</c:v>
                </c:pt>
                <c:pt idx="13">
                  <c:v>X</c:v>
                </c:pt>
                <c:pt idx="14">
                  <c:v>XI</c:v>
                </c:pt>
                <c:pt idx="15">
                  <c:v>XII</c:v>
                </c:pt>
                <c:pt idx="16">
                  <c:v>XIII</c:v>
                </c:pt>
              </c:strCache>
            </c:strRef>
          </c:cat>
          <c:val>
            <c:numRef>
              <c:f>Sheet2!$B$4:$B$21</c:f>
              <c:numCache>
                <c:formatCode>0.00%</c:formatCode>
                <c:ptCount val="17"/>
                <c:pt idx="0">
                  <c:v>8.3400000000000002E-2</c:v>
                </c:pt>
                <c:pt idx="1">
                  <c:v>0.30459999999999998</c:v>
                </c:pt>
                <c:pt idx="2">
                  <c:v>0.28089999999999998</c:v>
                </c:pt>
                <c:pt idx="3">
                  <c:v>0.34250000000000003</c:v>
                </c:pt>
                <c:pt idx="4">
                  <c:v>0.3039</c:v>
                </c:pt>
                <c:pt idx="5">
                  <c:v>0.27300000000000002</c:v>
                </c:pt>
                <c:pt idx="6">
                  <c:v>0.2114</c:v>
                </c:pt>
                <c:pt idx="7">
                  <c:v>0.27439999999999998</c:v>
                </c:pt>
                <c:pt idx="8">
                  <c:v>0.2712</c:v>
                </c:pt>
                <c:pt idx="9">
                  <c:v>0.27200000000000002</c:v>
                </c:pt>
                <c:pt idx="10">
                  <c:v>0.3301</c:v>
                </c:pt>
                <c:pt idx="11">
                  <c:v>0.26129999999999998</c:v>
                </c:pt>
                <c:pt idx="12">
                  <c:v>0.313</c:v>
                </c:pt>
                <c:pt idx="13">
                  <c:v>0.22939999999999999</c:v>
                </c:pt>
                <c:pt idx="14">
                  <c:v>0.26900000000000002</c:v>
                </c:pt>
                <c:pt idx="15">
                  <c:v>0.2135</c:v>
                </c:pt>
                <c:pt idx="16">
                  <c:v>0.24729999999999999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D-4BF5-9618-65643F05E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017504"/>
        <c:axId val="495039104"/>
      </c:barChart>
      <c:catAx>
        <c:axId val="49501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39104"/>
        <c:crosses val="autoZero"/>
        <c:auto val="1"/>
        <c:lblAlgn val="ctr"/>
        <c:lblOffset val="100"/>
        <c:noMultiLvlLbl val="0"/>
      </c:catAx>
      <c:valAx>
        <c:axId val="4950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1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481693</xdr:colOff>
      <xdr:row>6</xdr:row>
      <xdr:rowOff>5442</xdr:rowOff>
    </xdr:from>
    <xdr:to>
      <xdr:col>11</xdr:col>
      <xdr:colOff>481693</xdr:colOff>
      <xdr:row>20</xdr:row>
      <xdr:rowOff>157842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2D0662-ACEE-3646-4C93-ACC49487D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481693</xdr:colOff>
      <xdr:row>6</xdr:row>
      <xdr:rowOff>5442</xdr:rowOff>
    </xdr:from>
    <xdr:to>
      <xdr:col>11</xdr:col>
      <xdr:colOff>481693</xdr:colOff>
      <xdr:row>20</xdr:row>
      <xdr:rowOff>157842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9C469-2D7C-FFF8-D8F6-808BF7298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car G. Lara" refreshedDate="45960.670345601851" createdVersion="8" refreshedVersion="8" minRefreshableVersion="3" recordCount="17" xr:uid="{BCA474C7-1EA5-4611-98B3-D7B011E3A7B3}">
  <cacheSource type="worksheet">
    <worksheetSource ref="A1:P18" sheet="Sheet1"/>
  </cacheSource>
  <cacheFields count="16">
    <cacheField name="Region" numFmtId="0">
      <sharedItems count="17">
        <s v="NCR"/>
        <s v="CAR"/>
        <s v="I"/>
        <s v="II"/>
        <s v="III"/>
        <s v="IV-A"/>
        <s v="MIMAROPA"/>
        <s v="V"/>
        <s v="VI"/>
        <s v="VII"/>
        <s v="VIII"/>
        <s v="IX"/>
        <s v="X"/>
        <s v="XI"/>
        <s v="XII"/>
        <s v="XIII"/>
        <s v="BARMM"/>
      </sharedItems>
    </cacheField>
    <cacheField name="Total Children (5 and under)" numFmtId="0">
      <sharedItems containsSemiMixedTypes="0" containsString="0" containsNumber="1" containsInteger="1" minValue="412" maxValue="1804"/>
    </cacheField>
    <cacheField name="With Health Card/Vaccine Doc" numFmtId="0">
      <sharedItems containsSemiMixedTypes="0" containsString="0" containsNumber="1" containsInteger="1" minValue="110" maxValue="254"/>
    </cacheField>
    <cacheField name="Received Hepatitis B at birth" numFmtId="0">
      <sharedItems containsSemiMixedTypes="0" containsString="0" containsNumber="1" containsInteger="1" minValue="147" maxValue="310"/>
    </cacheField>
    <cacheField name="Received Pentavalent 1" numFmtId="0">
      <sharedItems containsSemiMixedTypes="0" containsString="0" containsNumber="1" containsInteger="1" minValue="131" maxValue="305"/>
    </cacheField>
    <cacheField name="Received Pentavalent 2" numFmtId="0">
      <sharedItems containsSemiMixedTypes="0" containsString="0" containsNumber="1" containsInteger="1" minValue="123" maxValue="290"/>
    </cacheField>
    <cacheField name="Received Pentavalent 3" numFmtId="0">
      <sharedItems containsSemiMixedTypes="0" containsString="0" containsNumber="1" containsInteger="1" minValue="113" maxValue="274"/>
    </cacheField>
    <cacheField name="Received Pneumococcal 1" numFmtId="0">
      <sharedItems containsSemiMixedTypes="0" containsString="0" containsNumber="1" containsInteger="1" minValue="136" maxValue="307"/>
    </cacheField>
    <cacheField name="Received Pneumococcal 2" numFmtId="0">
      <sharedItems containsSemiMixedTypes="0" containsString="0" containsNumber="1" containsInteger="1" minValue="126" maxValue="291"/>
    </cacheField>
    <cacheField name="Received Pneumococcal 3" numFmtId="0">
      <sharedItems containsSemiMixedTypes="0" containsString="0" containsNumber="1" containsInteger="1" minValue="115" maxValue="259"/>
    </cacheField>
    <cacheField name="Received MEASLES 2" numFmtId="0">
      <sharedItems containsSemiMixedTypes="0" containsString="0" containsNumber="1" containsInteger="1" minValue="73" maxValue="184"/>
    </cacheField>
    <cacheField name="Total Vaccinated" numFmtId="0">
      <sharedItems containsSemiMixedTypes="0" containsString="0" containsNumber="1" containsInteger="1" minValue="964" maxValue="2220"/>
    </cacheField>
    <cacheField name="Average Vaccinated" numFmtId="2">
      <sharedItems containsSemiMixedTypes="0" containsString="0" containsNumber="1" minValue="120.5" maxValue="277.5"/>
    </cacheField>
    <cacheField name="Immunization Rate" numFmtId="10">
      <sharedItems containsSemiMixedTypes="0" containsString="0" containsNumber="1" minValue="8.3425720620842567E-2" maxValue="0.34253640776699029"/>
    </cacheField>
    <cacheField name="Category" numFmtId="0">
      <sharedItems/>
    </cacheField>
    <cacheField name="Percent" numFmtId="10">
      <sharedItems containsSemiMixedTypes="0" containsString="0" containsNumber="1" minValue="8.3400000000000002E-2" maxValue="0.3425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832"/>
    <n v="178"/>
    <n v="266"/>
    <n v="261"/>
    <n v="243"/>
    <n v="220"/>
    <n v="241"/>
    <n v="219"/>
    <n v="195"/>
    <n v="160"/>
    <n v="1805"/>
    <n v="225.625"/>
    <n v="0.27118389423076922"/>
    <s v="LOW"/>
    <n v="0.2712"/>
  </r>
  <r>
    <x v="1"/>
    <n v="737"/>
    <n v="162"/>
    <n v="261"/>
    <n v="254"/>
    <n v="238"/>
    <n v="220"/>
    <n v="246"/>
    <n v="221"/>
    <n v="203"/>
    <n v="153"/>
    <n v="1796"/>
    <n v="224.5"/>
    <n v="0.30461329715061058"/>
    <s v="HIGH"/>
    <n v="0.30459999999999998"/>
  </r>
  <r>
    <x v="2"/>
    <n v="429"/>
    <n v="110"/>
    <n v="147"/>
    <n v="131"/>
    <n v="123"/>
    <n v="113"/>
    <n v="136"/>
    <n v="126"/>
    <n v="115"/>
    <n v="73"/>
    <n v="964"/>
    <n v="120.5"/>
    <n v="0.28088578088578087"/>
    <s v="HIGH"/>
    <n v="0.28089999999999998"/>
  </r>
  <r>
    <x v="3"/>
    <n v="412"/>
    <n v="111"/>
    <n v="161"/>
    <n v="161"/>
    <n v="151"/>
    <n v="135"/>
    <n v="150"/>
    <n v="142"/>
    <n v="127"/>
    <n v="102"/>
    <n v="1129"/>
    <n v="141.125"/>
    <n v="0.34253640776699029"/>
    <s v="HIGH"/>
    <n v="0.34250000000000003"/>
  </r>
  <r>
    <x v="4"/>
    <n v="913"/>
    <n v="254"/>
    <n v="310"/>
    <n v="305"/>
    <n v="290"/>
    <n v="274"/>
    <n v="307"/>
    <n v="291"/>
    <n v="259"/>
    <n v="184"/>
    <n v="2220"/>
    <n v="277.5"/>
    <n v="0.30394304490690033"/>
    <s v="HIGH"/>
    <n v="0.3039"/>
  </r>
  <r>
    <x v="5"/>
    <n v="739"/>
    <n v="167"/>
    <n v="233"/>
    <n v="234"/>
    <n v="220"/>
    <n v="203"/>
    <n v="222"/>
    <n v="197"/>
    <n v="177"/>
    <n v="128"/>
    <n v="1614"/>
    <n v="201.75"/>
    <n v="0.2730040595399188"/>
    <s v="HIGH"/>
    <n v="0.27300000000000002"/>
  </r>
  <r>
    <x v="6"/>
    <n v="650"/>
    <n v="189"/>
    <n v="188"/>
    <n v="227"/>
    <n v="210"/>
    <n v="191"/>
    <n v="178"/>
    <n v="165"/>
    <n v="145"/>
    <n v="123"/>
    <n v="1427"/>
    <n v="178.375"/>
    <n v="0.27442307692307694"/>
    <s v="HIGH"/>
    <n v="0.27439999999999998"/>
  </r>
  <r>
    <x v="7"/>
    <n v="689"/>
    <n v="183"/>
    <n v="220"/>
    <n v="213"/>
    <n v="193"/>
    <n v="175"/>
    <n v="209"/>
    <n v="194"/>
    <n v="168"/>
    <n v="127"/>
    <n v="1499"/>
    <n v="187.375"/>
    <n v="0.27195210449927432"/>
    <s v="LOW"/>
    <n v="0.27200000000000002"/>
  </r>
  <r>
    <x v="8"/>
    <n v="698"/>
    <n v="243"/>
    <n v="257"/>
    <n v="253"/>
    <n v="245"/>
    <n v="229"/>
    <n v="256"/>
    <n v="240"/>
    <n v="222"/>
    <n v="141"/>
    <n v="1843"/>
    <n v="230.375"/>
    <n v="0.33005014326647564"/>
    <s v="HIGH"/>
    <n v="0.3301"/>
  </r>
  <r>
    <x v="9"/>
    <n v="644"/>
    <n v="143"/>
    <n v="179"/>
    <n v="184"/>
    <n v="177"/>
    <n v="164"/>
    <n v="194"/>
    <n v="182"/>
    <n v="162"/>
    <n v="104"/>
    <n v="1346"/>
    <n v="168.25"/>
    <n v="0.26125776397515527"/>
    <s v="LOW"/>
    <n v="0.26129999999999998"/>
  </r>
  <r>
    <x v="10"/>
    <n v="811"/>
    <n v="237"/>
    <n v="258"/>
    <n v="281"/>
    <n v="272"/>
    <n v="258"/>
    <n v="273"/>
    <n v="264"/>
    <n v="245"/>
    <n v="180"/>
    <n v="2031"/>
    <n v="253.875"/>
    <n v="0.31303945745992601"/>
    <s v="HIGH"/>
    <n v="0.313"/>
  </r>
  <r>
    <x v="11"/>
    <n v="710"/>
    <n v="139"/>
    <n v="182"/>
    <n v="175"/>
    <n v="159"/>
    <n v="144"/>
    <n v="170"/>
    <n v="152"/>
    <n v="139"/>
    <n v="80"/>
    <n v="1201"/>
    <n v="150.125"/>
    <n v="0.21144366197183098"/>
    <s v="LOW"/>
    <n v="0.2114"/>
  </r>
  <r>
    <x v="12"/>
    <n v="921"/>
    <n v="205"/>
    <n v="228"/>
    <n v="241"/>
    <n v="229"/>
    <n v="208"/>
    <n v="239"/>
    <n v="219"/>
    <n v="189"/>
    <n v="137"/>
    <n v="1690"/>
    <n v="211.25"/>
    <n v="0.22937024972855591"/>
    <s v="LOW"/>
    <n v="0.22939999999999999"/>
  </r>
  <r>
    <x v="13"/>
    <n v="585"/>
    <n v="141"/>
    <n v="186"/>
    <n v="195"/>
    <n v="181"/>
    <n v="157"/>
    <n v="174"/>
    <n v="150"/>
    <n v="128"/>
    <n v="88"/>
    <n v="1259"/>
    <n v="157.375"/>
    <n v="0.26901709401709401"/>
    <s v="LOW"/>
    <n v="0.26900000000000002"/>
  </r>
  <r>
    <x v="14"/>
    <n v="729"/>
    <n v="137"/>
    <n v="189"/>
    <n v="190"/>
    <n v="170"/>
    <n v="148"/>
    <n v="170"/>
    <n v="149"/>
    <n v="131"/>
    <n v="98"/>
    <n v="1245"/>
    <n v="155.625"/>
    <n v="0.21347736625514405"/>
    <s v="LOW"/>
    <n v="0.2135"/>
  </r>
  <r>
    <x v="15"/>
    <n v="747"/>
    <n v="179"/>
    <n v="200"/>
    <n v="223"/>
    <n v="201"/>
    <n v="175"/>
    <n v="212"/>
    <n v="186"/>
    <n v="162"/>
    <n v="119"/>
    <n v="1478"/>
    <n v="184.75"/>
    <n v="0.24732262382864792"/>
    <s v="LOW"/>
    <n v="0.24729999999999999"/>
  </r>
  <r>
    <x v="16"/>
    <n v="1804"/>
    <n v="147"/>
    <n v="184"/>
    <n v="196"/>
    <n v="163"/>
    <n v="132"/>
    <n v="172"/>
    <n v="147"/>
    <n v="125"/>
    <n v="85"/>
    <n v="1204"/>
    <n v="150.5"/>
    <n v="8.3425720620842567E-2"/>
    <s v="LOW"/>
    <n v="8.340000000000000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FDE2A-B795-4371-B4BE-807BCF35ABA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6">
    <pivotField axis="axisRow" showAll="0">
      <items count="18">
        <item x="16"/>
        <item x="1"/>
        <item x="2"/>
        <item x="3"/>
        <item x="4"/>
        <item x="5"/>
        <item x="11"/>
        <item x="6"/>
        <item x="0"/>
        <item x="7"/>
        <item x="8"/>
        <item x="9"/>
        <item x="10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0" showAll="0"/>
    <pivotField showAll="0"/>
    <pivotField dataField="1" numFmtId="10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ercent" fld="15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E4F1-10D0-414F-94D3-E3A31F855F2B}">
  <dimension ref="A1:P21"/>
  <sheetViews>
    <sheetView tabSelected="1" workbookViewId="0">
      <selection activeCell="K24" sqref="K24"/>
    </sheetView>
  </sheetViews>
  <sheetFormatPr defaultRowHeight="14.6" x14ac:dyDescent="0.4"/>
  <cols>
    <col min="1" max="1" width="9.23046875" customWidth="1"/>
    <col min="14" max="14" width="20.69140625" customWidth="1"/>
    <col min="15" max="15" width="9.23046875" customWidth="1"/>
    <col min="16" max="16" width="18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  <c r="P1" s="1" t="s">
        <v>35</v>
      </c>
    </row>
    <row r="2" spans="1:16" x14ac:dyDescent="0.4">
      <c r="A2" s="2" t="s">
        <v>15</v>
      </c>
      <c r="B2" s="2">
        <v>832</v>
      </c>
      <c r="C2" s="2">
        <v>178</v>
      </c>
      <c r="D2" s="2">
        <v>266</v>
      </c>
      <c r="E2" s="2">
        <v>261</v>
      </c>
      <c r="F2" s="2">
        <v>243</v>
      </c>
      <c r="G2" s="2">
        <v>220</v>
      </c>
      <c r="H2" s="2">
        <v>241</v>
      </c>
      <c r="I2" s="2">
        <v>219</v>
      </c>
      <c r="J2" s="2">
        <v>195</v>
      </c>
      <c r="K2" s="2">
        <v>160</v>
      </c>
      <c r="L2" s="3">
        <v>1805</v>
      </c>
      <c r="M2" s="4">
        <v>225.625</v>
      </c>
      <c r="N2" s="9">
        <v>0.27118389423076922</v>
      </c>
      <c r="O2" s="8" t="s">
        <v>33</v>
      </c>
      <c r="P2" s="10">
        <v>0.2712</v>
      </c>
    </row>
    <row r="3" spans="1:16" x14ac:dyDescent="0.4">
      <c r="A3" s="2" t="s">
        <v>16</v>
      </c>
      <c r="B3" s="2">
        <v>737</v>
      </c>
      <c r="C3" s="2">
        <v>162</v>
      </c>
      <c r="D3" s="2">
        <v>261</v>
      </c>
      <c r="E3" s="2">
        <v>254</v>
      </c>
      <c r="F3" s="2">
        <v>238</v>
      </c>
      <c r="G3" s="2">
        <v>220</v>
      </c>
      <c r="H3" s="2">
        <v>246</v>
      </c>
      <c r="I3" s="2">
        <v>221</v>
      </c>
      <c r="J3" s="2">
        <v>203</v>
      </c>
      <c r="K3" s="2">
        <v>153</v>
      </c>
      <c r="L3" s="3">
        <v>1796</v>
      </c>
      <c r="M3" s="4">
        <v>224.5</v>
      </c>
      <c r="N3" s="9">
        <v>0.30461329715061058</v>
      </c>
      <c r="O3" s="8" t="s">
        <v>34</v>
      </c>
      <c r="P3" s="10">
        <v>0.30459999999999998</v>
      </c>
    </row>
    <row r="4" spans="1:16" x14ac:dyDescent="0.4">
      <c r="A4" s="2" t="s">
        <v>17</v>
      </c>
      <c r="B4" s="2">
        <v>429</v>
      </c>
      <c r="C4" s="2">
        <v>110</v>
      </c>
      <c r="D4" s="2">
        <v>147</v>
      </c>
      <c r="E4" s="2">
        <v>131</v>
      </c>
      <c r="F4" s="2">
        <v>123</v>
      </c>
      <c r="G4" s="2">
        <v>113</v>
      </c>
      <c r="H4" s="2">
        <v>136</v>
      </c>
      <c r="I4" s="2">
        <v>126</v>
      </c>
      <c r="J4" s="2">
        <v>115</v>
      </c>
      <c r="K4" s="2">
        <v>73</v>
      </c>
      <c r="L4" s="3">
        <v>964</v>
      </c>
      <c r="M4" s="4">
        <v>120.5</v>
      </c>
      <c r="N4" s="9">
        <v>0.28088578088578087</v>
      </c>
      <c r="O4" s="8" t="s">
        <v>34</v>
      </c>
      <c r="P4" s="10">
        <v>0.28089999999999998</v>
      </c>
    </row>
    <row r="5" spans="1:16" x14ac:dyDescent="0.4">
      <c r="A5" s="2" t="s">
        <v>18</v>
      </c>
      <c r="B5" s="2">
        <v>412</v>
      </c>
      <c r="C5" s="2">
        <v>111</v>
      </c>
      <c r="D5" s="2">
        <v>161</v>
      </c>
      <c r="E5" s="2">
        <v>161</v>
      </c>
      <c r="F5" s="2">
        <v>151</v>
      </c>
      <c r="G5" s="2">
        <v>135</v>
      </c>
      <c r="H5" s="2">
        <v>150</v>
      </c>
      <c r="I5" s="2">
        <v>142</v>
      </c>
      <c r="J5" s="2">
        <v>127</v>
      </c>
      <c r="K5" s="2">
        <v>102</v>
      </c>
      <c r="L5" s="3">
        <v>1129</v>
      </c>
      <c r="M5" s="4">
        <v>141.125</v>
      </c>
      <c r="N5" s="9">
        <v>0.34253640776699029</v>
      </c>
      <c r="O5" s="8" t="s">
        <v>34</v>
      </c>
      <c r="P5" s="10">
        <v>0.34250000000000003</v>
      </c>
    </row>
    <row r="6" spans="1:16" x14ac:dyDescent="0.4">
      <c r="A6" s="2" t="s">
        <v>19</v>
      </c>
      <c r="B6" s="2">
        <v>913</v>
      </c>
      <c r="C6" s="2">
        <v>254</v>
      </c>
      <c r="D6" s="2">
        <v>310</v>
      </c>
      <c r="E6" s="2">
        <v>305</v>
      </c>
      <c r="F6" s="2">
        <v>290</v>
      </c>
      <c r="G6" s="2">
        <v>274</v>
      </c>
      <c r="H6" s="2">
        <v>307</v>
      </c>
      <c r="I6" s="2">
        <v>291</v>
      </c>
      <c r="J6" s="2">
        <v>259</v>
      </c>
      <c r="K6" s="2">
        <v>184</v>
      </c>
      <c r="L6" s="3">
        <v>2220</v>
      </c>
      <c r="M6" s="4">
        <v>277.5</v>
      </c>
      <c r="N6" s="9">
        <v>0.30394304490690033</v>
      </c>
      <c r="O6" s="8" t="s">
        <v>34</v>
      </c>
      <c r="P6" s="10">
        <v>0.3039</v>
      </c>
    </row>
    <row r="7" spans="1:16" x14ac:dyDescent="0.4">
      <c r="A7" s="2" t="s">
        <v>20</v>
      </c>
      <c r="B7" s="2">
        <v>739</v>
      </c>
      <c r="C7" s="2">
        <v>167</v>
      </c>
      <c r="D7" s="2">
        <v>233</v>
      </c>
      <c r="E7" s="2">
        <v>234</v>
      </c>
      <c r="F7" s="2">
        <v>220</v>
      </c>
      <c r="G7" s="2">
        <v>203</v>
      </c>
      <c r="H7" s="2">
        <v>222</v>
      </c>
      <c r="I7" s="2">
        <v>197</v>
      </c>
      <c r="J7" s="2">
        <v>177</v>
      </c>
      <c r="K7" s="2">
        <v>128</v>
      </c>
      <c r="L7" s="3">
        <v>1614</v>
      </c>
      <c r="M7" s="4">
        <v>201.75</v>
      </c>
      <c r="N7" s="9">
        <v>0.2730040595399188</v>
      </c>
      <c r="O7" s="8" t="s">
        <v>34</v>
      </c>
      <c r="P7" s="10">
        <v>0.27300000000000002</v>
      </c>
    </row>
    <row r="8" spans="1:16" x14ac:dyDescent="0.4">
      <c r="A8" s="2" t="s">
        <v>21</v>
      </c>
      <c r="B8" s="2">
        <v>650</v>
      </c>
      <c r="C8" s="2">
        <v>189</v>
      </c>
      <c r="D8" s="2">
        <v>188</v>
      </c>
      <c r="E8" s="2">
        <v>227</v>
      </c>
      <c r="F8" s="2">
        <v>210</v>
      </c>
      <c r="G8" s="2">
        <v>191</v>
      </c>
      <c r="H8" s="2">
        <v>178</v>
      </c>
      <c r="I8" s="2">
        <v>165</v>
      </c>
      <c r="J8" s="2">
        <v>145</v>
      </c>
      <c r="K8" s="2">
        <v>123</v>
      </c>
      <c r="L8" s="3">
        <v>1427</v>
      </c>
      <c r="M8" s="4">
        <v>178.375</v>
      </c>
      <c r="N8" s="9">
        <v>0.27442307692307694</v>
      </c>
      <c r="O8" s="8" t="s">
        <v>34</v>
      </c>
      <c r="P8" s="10">
        <v>0.27439999999999998</v>
      </c>
    </row>
    <row r="9" spans="1:16" x14ac:dyDescent="0.4">
      <c r="A9" s="2" t="s">
        <v>22</v>
      </c>
      <c r="B9" s="2">
        <v>689</v>
      </c>
      <c r="C9" s="2">
        <v>183</v>
      </c>
      <c r="D9" s="2">
        <v>220</v>
      </c>
      <c r="E9" s="2">
        <v>213</v>
      </c>
      <c r="F9" s="2">
        <v>193</v>
      </c>
      <c r="G9" s="2">
        <v>175</v>
      </c>
      <c r="H9" s="2">
        <v>209</v>
      </c>
      <c r="I9" s="2">
        <v>194</v>
      </c>
      <c r="J9" s="2">
        <v>168</v>
      </c>
      <c r="K9" s="2">
        <v>127</v>
      </c>
      <c r="L9" s="3">
        <v>1499</v>
      </c>
      <c r="M9" s="4">
        <v>187.375</v>
      </c>
      <c r="N9" s="9">
        <v>0.27195210449927432</v>
      </c>
      <c r="O9" s="8" t="s">
        <v>33</v>
      </c>
      <c r="P9" s="10">
        <v>0.27200000000000002</v>
      </c>
    </row>
    <row r="10" spans="1:16" x14ac:dyDescent="0.4">
      <c r="A10" s="2" t="s">
        <v>23</v>
      </c>
      <c r="B10" s="2">
        <v>698</v>
      </c>
      <c r="C10" s="2">
        <v>243</v>
      </c>
      <c r="D10" s="2">
        <v>257</v>
      </c>
      <c r="E10" s="2">
        <v>253</v>
      </c>
      <c r="F10" s="2">
        <v>245</v>
      </c>
      <c r="G10" s="2">
        <v>229</v>
      </c>
      <c r="H10" s="2">
        <v>256</v>
      </c>
      <c r="I10" s="2">
        <v>240</v>
      </c>
      <c r="J10" s="2">
        <v>222</v>
      </c>
      <c r="K10" s="2">
        <v>141</v>
      </c>
      <c r="L10" s="3">
        <v>1843</v>
      </c>
      <c r="M10" s="4">
        <v>230.375</v>
      </c>
      <c r="N10" s="9">
        <v>0.33005014326647564</v>
      </c>
      <c r="O10" s="8" t="s">
        <v>34</v>
      </c>
      <c r="P10" s="10">
        <v>0.3301</v>
      </c>
    </row>
    <row r="11" spans="1:16" x14ac:dyDescent="0.4">
      <c r="A11" s="2" t="s">
        <v>24</v>
      </c>
      <c r="B11" s="2">
        <v>644</v>
      </c>
      <c r="C11" s="2">
        <v>143</v>
      </c>
      <c r="D11" s="2">
        <v>179</v>
      </c>
      <c r="E11" s="2">
        <v>184</v>
      </c>
      <c r="F11" s="2">
        <v>177</v>
      </c>
      <c r="G11" s="2">
        <v>164</v>
      </c>
      <c r="H11" s="2">
        <v>194</v>
      </c>
      <c r="I11" s="2">
        <v>182</v>
      </c>
      <c r="J11" s="2">
        <v>162</v>
      </c>
      <c r="K11" s="2">
        <v>104</v>
      </c>
      <c r="L11" s="3">
        <v>1346</v>
      </c>
      <c r="M11" s="4">
        <v>168.25</v>
      </c>
      <c r="N11" s="9">
        <v>0.26125776397515527</v>
      </c>
      <c r="O11" s="8" t="s">
        <v>33</v>
      </c>
      <c r="P11" s="10">
        <v>0.26129999999999998</v>
      </c>
    </row>
    <row r="12" spans="1:16" x14ac:dyDescent="0.4">
      <c r="A12" s="2" t="s">
        <v>25</v>
      </c>
      <c r="B12" s="2">
        <v>811</v>
      </c>
      <c r="C12" s="2">
        <v>237</v>
      </c>
      <c r="D12" s="2">
        <v>258</v>
      </c>
      <c r="E12" s="2">
        <v>281</v>
      </c>
      <c r="F12" s="2">
        <v>272</v>
      </c>
      <c r="G12" s="2">
        <v>258</v>
      </c>
      <c r="H12" s="2">
        <v>273</v>
      </c>
      <c r="I12" s="2">
        <v>264</v>
      </c>
      <c r="J12" s="2">
        <v>245</v>
      </c>
      <c r="K12" s="2">
        <v>180</v>
      </c>
      <c r="L12" s="3">
        <v>2031</v>
      </c>
      <c r="M12" s="4">
        <v>253.875</v>
      </c>
      <c r="N12" s="9">
        <v>0.31303945745992601</v>
      </c>
      <c r="O12" s="8" t="s">
        <v>34</v>
      </c>
      <c r="P12" s="10">
        <v>0.313</v>
      </c>
    </row>
    <row r="13" spans="1:16" x14ac:dyDescent="0.4">
      <c r="A13" s="2" t="s">
        <v>26</v>
      </c>
      <c r="B13" s="2">
        <v>710</v>
      </c>
      <c r="C13" s="2">
        <v>139</v>
      </c>
      <c r="D13" s="2">
        <v>182</v>
      </c>
      <c r="E13" s="2">
        <v>175</v>
      </c>
      <c r="F13" s="2">
        <v>159</v>
      </c>
      <c r="G13" s="2">
        <v>144</v>
      </c>
      <c r="H13" s="2">
        <v>170</v>
      </c>
      <c r="I13" s="2">
        <v>152</v>
      </c>
      <c r="J13" s="2">
        <v>139</v>
      </c>
      <c r="K13" s="2">
        <v>80</v>
      </c>
      <c r="L13" s="3">
        <v>1201</v>
      </c>
      <c r="M13" s="4">
        <v>150.125</v>
      </c>
      <c r="N13" s="9">
        <v>0.21144366197183098</v>
      </c>
      <c r="O13" s="8" t="s">
        <v>33</v>
      </c>
      <c r="P13" s="10">
        <v>0.2114</v>
      </c>
    </row>
    <row r="14" spans="1:16" x14ac:dyDescent="0.4">
      <c r="A14" s="2" t="s">
        <v>27</v>
      </c>
      <c r="B14" s="2">
        <v>921</v>
      </c>
      <c r="C14" s="2">
        <v>205</v>
      </c>
      <c r="D14" s="2">
        <v>228</v>
      </c>
      <c r="E14" s="2">
        <v>241</v>
      </c>
      <c r="F14" s="2">
        <v>229</v>
      </c>
      <c r="G14" s="2">
        <v>208</v>
      </c>
      <c r="H14" s="2">
        <v>239</v>
      </c>
      <c r="I14" s="2">
        <v>219</v>
      </c>
      <c r="J14" s="2">
        <v>189</v>
      </c>
      <c r="K14" s="2">
        <v>137</v>
      </c>
      <c r="L14" s="3">
        <v>1690</v>
      </c>
      <c r="M14" s="4">
        <v>211.25</v>
      </c>
      <c r="N14" s="9">
        <v>0.22937024972855591</v>
      </c>
      <c r="O14" s="8" t="s">
        <v>33</v>
      </c>
      <c r="P14" s="10">
        <v>0.22939999999999999</v>
      </c>
    </row>
    <row r="15" spans="1:16" x14ac:dyDescent="0.4">
      <c r="A15" s="2" t="s">
        <v>28</v>
      </c>
      <c r="B15" s="2">
        <v>585</v>
      </c>
      <c r="C15" s="2">
        <v>141</v>
      </c>
      <c r="D15" s="2">
        <v>186</v>
      </c>
      <c r="E15" s="2">
        <v>195</v>
      </c>
      <c r="F15" s="2">
        <v>181</v>
      </c>
      <c r="G15" s="2">
        <v>157</v>
      </c>
      <c r="H15" s="2">
        <v>174</v>
      </c>
      <c r="I15" s="2">
        <v>150</v>
      </c>
      <c r="J15" s="2">
        <v>128</v>
      </c>
      <c r="K15" s="2">
        <v>88</v>
      </c>
      <c r="L15" s="3">
        <v>1259</v>
      </c>
      <c r="M15" s="4">
        <v>157.375</v>
      </c>
      <c r="N15" s="9">
        <v>0.26901709401709401</v>
      </c>
      <c r="O15" s="8" t="s">
        <v>33</v>
      </c>
      <c r="P15" s="10">
        <v>0.26900000000000002</v>
      </c>
    </row>
    <row r="16" spans="1:16" x14ac:dyDescent="0.4">
      <c r="A16" s="2" t="s">
        <v>29</v>
      </c>
      <c r="B16" s="2">
        <v>729</v>
      </c>
      <c r="C16" s="2">
        <v>137</v>
      </c>
      <c r="D16" s="2">
        <v>189</v>
      </c>
      <c r="E16" s="2">
        <v>190</v>
      </c>
      <c r="F16" s="2">
        <v>170</v>
      </c>
      <c r="G16" s="2">
        <v>148</v>
      </c>
      <c r="H16" s="2">
        <v>170</v>
      </c>
      <c r="I16" s="2">
        <v>149</v>
      </c>
      <c r="J16" s="2">
        <v>131</v>
      </c>
      <c r="K16" s="2">
        <v>98</v>
      </c>
      <c r="L16" s="3">
        <v>1245</v>
      </c>
      <c r="M16" s="4">
        <v>155.625</v>
      </c>
      <c r="N16" s="9">
        <v>0.21347736625514405</v>
      </c>
      <c r="O16" s="8" t="s">
        <v>33</v>
      </c>
      <c r="P16" s="10">
        <v>0.2135</v>
      </c>
    </row>
    <row r="17" spans="1:16" x14ac:dyDescent="0.4">
      <c r="A17" s="2" t="s">
        <v>30</v>
      </c>
      <c r="B17" s="2">
        <v>747</v>
      </c>
      <c r="C17" s="2">
        <v>179</v>
      </c>
      <c r="D17" s="2">
        <v>200</v>
      </c>
      <c r="E17" s="2">
        <v>223</v>
      </c>
      <c r="F17" s="2">
        <v>201</v>
      </c>
      <c r="G17" s="2">
        <v>175</v>
      </c>
      <c r="H17" s="2">
        <v>212</v>
      </c>
      <c r="I17" s="2">
        <v>186</v>
      </c>
      <c r="J17" s="2">
        <v>162</v>
      </c>
      <c r="K17" s="2">
        <v>119</v>
      </c>
      <c r="L17" s="3">
        <v>1478</v>
      </c>
      <c r="M17" s="4">
        <v>184.75</v>
      </c>
      <c r="N17" s="9">
        <v>0.24732262382864792</v>
      </c>
      <c r="O17" s="8" t="s">
        <v>33</v>
      </c>
      <c r="P17" s="10">
        <v>0.24729999999999999</v>
      </c>
    </row>
    <row r="18" spans="1:16" x14ac:dyDescent="0.4">
      <c r="A18" s="2" t="s">
        <v>31</v>
      </c>
      <c r="B18" s="2">
        <v>1804</v>
      </c>
      <c r="C18" s="2">
        <v>147</v>
      </c>
      <c r="D18" s="2">
        <v>184</v>
      </c>
      <c r="E18" s="2">
        <v>196</v>
      </c>
      <c r="F18" s="2">
        <v>163</v>
      </c>
      <c r="G18" s="2">
        <v>132</v>
      </c>
      <c r="H18" s="2">
        <v>172</v>
      </c>
      <c r="I18" s="2">
        <v>147</v>
      </c>
      <c r="J18" s="2">
        <v>125</v>
      </c>
      <c r="K18" s="2">
        <v>85</v>
      </c>
      <c r="L18" s="3">
        <v>1204</v>
      </c>
      <c r="M18" s="4">
        <v>150.5</v>
      </c>
      <c r="N18" s="9">
        <v>8.3425720620842567E-2</v>
      </c>
      <c r="O18" s="8" t="s">
        <v>33</v>
      </c>
      <c r="P18" s="10">
        <v>8.3400000000000002E-2</v>
      </c>
    </row>
    <row r="21" spans="1:16" x14ac:dyDescent="0.4">
      <c r="M21" s="5" t="s">
        <v>32</v>
      </c>
      <c r="N21" s="6">
        <v>0.2730040595399188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21E3-3325-4463-9D60-31C3F42B43CE}">
  <dimension ref="A3:B21"/>
  <sheetViews>
    <sheetView workbookViewId="0">
      <selection activeCell="L25" sqref="L25"/>
    </sheetView>
  </sheetViews>
  <sheetFormatPr defaultRowHeight="14.6" x14ac:dyDescent="0.4"/>
  <cols>
    <col min="1" max="1" width="12.4609375" bestFit="1" customWidth="1"/>
    <col min="2" max="2" width="13.53515625" bestFit="1" customWidth="1"/>
  </cols>
  <sheetData>
    <row r="3" spans="1:2" x14ac:dyDescent="0.4">
      <c r="A3" s="11" t="s">
        <v>36</v>
      </c>
      <c r="B3" t="s">
        <v>38</v>
      </c>
    </row>
    <row r="4" spans="1:2" x14ac:dyDescent="0.4">
      <c r="A4" s="12" t="s">
        <v>31</v>
      </c>
      <c r="B4" s="13">
        <v>8.3400000000000002E-2</v>
      </c>
    </row>
    <row r="5" spans="1:2" x14ac:dyDescent="0.4">
      <c r="A5" s="12" t="s">
        <v>16</v>
      </c>
      <c r="B5" s="13">
        <v>0.30459999999999998</v>
      </c>
    </row>
    <row r="6" spans="1:2" x14ac:dyDescent="0.4">
      <c r="A6" s="12" t="s">
        <v>17</v>
      </c>
      <c r="B6" s="13">
        <v>0.28089999999999998</v>
      </c>
    </row>
    <row r="7" spans="1:2" x14ac:dyDescent="0.4">
      <c r="A7" s="12" t="s">
        <v>18</v>
      </c>
      <c r="B7" s="13">
        <v>0.34250000000000003</v>
      </c>
    </row>
    <row r="8" spans="1:2" x14ac:dyDescent="0.4">
      <c r="A8" s="12" t="s">
        <v>19</v>
      </c>
      <c r="B8" s="13">
        <v>0.3039</v>
      </c>
    </row>
    <row r="9" spans="1:2" x14ac:dyDescent="0.4">
      <c r="A9" s="12" t="s">
        <v>20</v>
      </c>
      <c r="B9" s="13">
        <v>0.27300000000000002</v>
      </c>
    </row>
    <row r="10" spans="1:2" x14ac:dyDescent="0.4">
      <c r="A10" s="12" t="s">
        <v>26</v>
      </c>
      <c r="B10" s="13">
        <v>0.2114</v>
      </c>
    </row>
    <row r="11" spans="1:2" x14ac:dyDescent="0.4">
      <c r="A11" s="12" t="s">
        <v>21</v>
      </c>
      <c r="B11" s="13">
        <v>0.27439999999999998</v>
      </c>
    </row>
    <row r="12" spans="1:2" x14ac:dyDescent="0.4">
      <c r="A12" s="12" t="s">
        <v>15</v>
      </c>
      <c r="B12" s="13">
        <v>0.2712</v>
      </c>
    </row>
    <row r="13" spans="1:2" x14ac:dyDescent="0.4">
      <c r="A13" s="12" t="s">
        <v>22</v>
      </c>
      <c r="B13" s="13">
        <v>0.27200000000000002</v>
      </c>
    </row>
    <row r="14" spans="1:2" x14ac:dyDescent="0.4">
      <c r="A14" s="12" t="s">
        <v>23</v>
      </c>
      <c r="B14" s="13">
        <v>0.3301</v>
      </c>
    </row>
    <row r="15" spans="1:2" x14ac:dyDescent="0.4">
      <c r="A15" s="12" t="s">
        <v>24</v>
      </c>
      <c r="B15" s="13">
        <v>0.26129999999999998</v>
      </c>
    </row>
    <row r="16" spans="1:2" x14ac:dyDescent="0.4">
      <c r="A16" s="12" t="s">
        <v>25</v>
      </c>
      <c r="B16" s="13">
        <v>0.313</v>
      </c>
    </row>
    <row r="17" spans="1:2" x14ac:dyDescent="0.4">
      <c r="A17" s="12" t="s">
        <v>27</v>
      </c>
      <c r="B17" s="13">
        <v>0.22939999999999999</v>
      </c>
    </row>
    <row r="18" spans="1:2" x14ac:dyDescent="0.4">
      <c r="A18" s="12" t="s">
        <v>28</v>
      </c>
      <c r="B18" s="13">
        <v>0.26900000000000002</v>
      </c>
    </row>
    <row r="19" spans="1:2" x14ac:dyDescent="0.4">
      <c r="A19" s="12" t="s">
        <v>29</v>
      </c>
      <c r="B19" s="13">
        <v>0.2135</v>
      </c>
    </row>
    <row r="20" spans="1:2" x14ac:dyDescent="0.4">
      <c r="A20" s="12" t="s">
        <v>30</v>
      </c>
      <c r="B20" s="13">
        <v>0.24729999999999999</v>
      </c>
    </row>
    <row r="21" spans="1:2" x14ac:dyDescent="0.4">
      <c r="A21" s="12" t="s">
        <v>37</v>
      </c>
      <c r="B21" s="13">
        <v>4.4809000000000001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MARICAR LARA</dc:creator>
  <cp:lastModifiedBy>MARICAR LARA</cp:lastModifiedBy>
  <dcterms:created xsi:type="dcterms:W3CDTF">2025-10-30T00:44:13Z</dcterms:created>
  <dcterms:modified xsi:type="dcterms:W3CDTF">2025-10-30T11:22:59Z</dcterms:modified>
</cp:coreProperties>
</file>