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for sorting/"/>
    </mc:Choice>
  </mc:AlternateContent>
  <xr:revisionPtr revIDLastSave="0" documentId="8_{A3677AB4-AC9C-8D40-97A9-253C01D4DBF9}" xr6:coauthVersionLast="47" xr6:coauthVersionMax="47" xr10:uidLastSave="{00000000-0000-0000-0000-000000000000}"/>
  <bookViews>
    <workbookView xWindow="780" yWindow="1120" windowWidth="27640" windowHeight="15660" activeTab="2" xr2:uid="{015D13CF-7B3E-9645-87A8-78B4247A02B5}"/>
  </bookViews>
  <sheets>
    <sheet name="RAW DATA" sheetId="1" r:id="rId1"/>
    <sheet name="CHARTS" sheetId="2" r:id="rId2"/>
    <sheet name="MATRIX" sheetId="3" r:id="rId3"/>
  </sheets>
  <externalReferences>
    <externalReference r:id="rId4"/>
  </externalReferences>
  <definedNames>
    <definedName name="_xlnm._FilterDatabase" localSheetId="1" hidden="1">CHARTS!$A$1:$L$1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3" l="1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G2" i="3"/>
  <c r="F2" i="3"/>
  <c r="N18" i="2"/>
  <c r="M18" i="2"/>
  <c r="K18" i="2"/>
  <c r="L18" i="2" s="1"/>
  <c r="N17" i="2"/>
  <c r="M17" i="2"/>
  <c r="L17" i="2"/>
  <c r="K17" i="2"/>
  <c r="N16" i="2"/>
  <c r="M16" i="2"/>
  <c r="K16" i="2"/>
  <c r="L16" i="2" s="1"/>
  <c r="N15" i="2"/>
  <c r="M15" i="2"/>
  <c r="L15" i="2"/>
  <c r="K15" i="2"/>
  <c r="N14" i="2"/>
  <c r="M14" i="2"/>
  <c r="K14" i="2"/>
  <c r="L14" i="2" s="1"/>
  <c r="N13" i="2"/>
  <c r="M13" i="2"/>
  <c r="L13" i="2"/>
  <c r="K13" i="2"/>
  <c r="N12" i="2"/>
  <c r="M12" i="2"/>
  <c r="K12" i="2"/>
  <c r="L12" i="2" s="1"/>
  <c r="N11" i="2"/>
  <c r="M11" i="2"/>
  <c r="L11" i="2"/>
  <c r="K11" i="2"/>
  <c r="N10" i="2"/>
  <c r="M10" i="2"/>
  <c r="K10" i="2"/>
  <c r="L10" i="2" s="1"/>
  <c r="N9" i="2"/>
  <c r="M9" i="2"/>
  <c r="L9" i="2"/>
  <c r="K9" i="2"/>
  <c r="N8" i="2"/>
  <c r="M8" i="2"/>
  <c r="K8" i="2"/>
  <c r="L8" i="2" s="1"/>
  <c r="N7" i="2"/>
  <c r="M7" i="2"/>
  <c r="L7" i="2"/>
  <c r="K7" i="2"/>
  <c r="N6" i="2"/>
  <c r="M6" i="2"/>
  <c r="K6" i="2"/>
  <c r="L6" i="2" s="1"/>
  <c r="N5" i="2"/>
  <c r="M5" i="2"/>
  <c r="L5" i="2"/>
  <c r="K5" i="2"/>
  <c r="N4" i="2"/>
  <c r="M4" i="2"/>
  <c r="K4" i="2"/>
  <c r="L4" i="2" s="1"/>
  <c r="N3" i="2"/>
  <c r="M3" i="2"/>
  <c r="L3" i="2"/>
  <c r="K3" i="2"/>
  <c r="N2" i="2"/>
  <c r="M2" i="2"/>
  <c r="K2" i="2"/>
  <c r="L2" i="2" s="1"/>
</calcChain>
</file>

<file path=xl/sharedStrings.xml><?xml version="1.0" encoding="utf-8"?>
<sst xmlns="http://schemas.openxmlformats.org/spreadsheetml/2006/main" count="163" uniqueCount="46">
  <si>
    <t>region_name</t>
  </si>
  <si>
    <t>total_children (2020)</t>
  </si>
  <si>
    <t>working_children (2020)</t>
  </si>
  <si>
    <t>4ps Beneficiary (2020)</t>
  </si>
  <si>
    <t>total_children (2021)</t>
  </si>
  <si>
    <t>working_children (2021)</t>
  </si>
  <si>
    <t>4ps Beneficiary (2021)</t>
  </si>
  <si>
    <t>total_children (2022)</t>
  </si>
  <si>
    <t>working_children (2022)</t>
  </si>
  <si>
    <t>4ps Beneficiary (2022)</t>
  </si>
  <si>
    <t>Average Working Child</t>
  </si>
  <si>
    <t>Rank</t>
  </si>
  <si>
    <t>X</t>
  </si>
  <si>
    <t>IV-A</t>
  </si>
  <si>
    <t>XII</t>
  </si>
  <si>
    <t>VII</t>
  </si>
  <si>
    <t>V</t>
  </si>
  <si>
    <t>VI</t>
  </si>
  <si>
    <t>VIII</t>
  </si>
  <si>
    <t>XIII</t>
  </si>
  <si>
    <t>I</t>
  </si>
  <si>
    <t>BARMM</t>
  </si>
  <si>
    <t>IX</t>
  </si>
  <si>
    <t>III</t>
  </si>
  <si>
    <t>IV-B</t>
  </si>
  <si>
    <t>XI</t>
  </si>
  <si>
    <t>II</t>
  </si>
  <si>
    <t>NCR</t>
  </si>
  <si>
    <t>CAR</t>
  </si>
  <si>
    <t>Average Beneficiary</t>
  </si>
  <si>
    <t>Average Total Children</t>
  </si>
  <si>
    <t>Region</t>
  </si>
  <si>
    <t>4Ps Member/Children Count</t>
  </si>
  <si>
    <t>Education Performance</t>
  </si>
  <si>
    <t>Adjusted X</t>
  </si>
  <si>
    <t>Adjusted Y</t>
  </si>
  <si>
    <t>year</t>
  </si>
  <si>
    <t>island_group</t>
  </si>
  <si>
    <t>total_children</t>
  </si>
  <si>
    <t>working_children</t>
  </si>
  <si>
    <t>prop_working</t>
  </si>
  <si>
    <t>Mindanao</t>
  </si>
  <si>
    <t>Luzon</t>
  </si>
  <si>
    <t>Visayas</t>
  </si>
  <si>
    <t>FINAL Y</t>
  </si>
  <si>
    <t>FINAL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</si>
</sst>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Aptos Narrow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0"/>
      <color rgb="FF00B050"/>
      <name val="Arial"/>
      <family val="2"/>
    </font>
    <font>
      <sz val="10"/>
      <color theme="5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1" fillId="0" borderId="0" xfId="0" applyFont="1"/>
    <xf numFmtId="2" fontId="1" fillId="0" borderId="0" xfId="1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0" fontId="2" fillId="0" borderId="0" xfId="1"/>
    <xf numFmtId="2" fontId="2" fillId="0" borderId="0" xfId="1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0" xfId="2"/>
    <xf numFmtId="164" fontId="2" fillId="0" borderId="0" xfId="2" applyNumberFormat="1"/>
    <xf numFmtId="1" fontId="2" fillId="0" borderId="0" xfId="2" applyNumberFormat="1"/>
    <xf numFmtId="2" fontId="2" fillId="0" borderId="0" xfId="2" applyNumberFormat="1"/>
    <xf numFmtId="0" fontId="5" fillId="0" borderId="0" xfId="0" applyFont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2" fontId="7" fillId="0" borderId="1" xfId="2" applyNumberFormat="1" applyFont="1" applyBorder="1" applyAlignment="1">
      <alignment horizontal="center" vertical="center"/>
    </xf>
    <xf numFmtId="1" fontId="8" fillId="0" borderId="1" xfId="2" applyNumberFormat="1" applyFont="1" applyBorder="1" applyAlignment="1">
      <alignment horizontal="center" vertical="center"/>
    </xf>
    <xf numFmtId="2" fontId="8" fillId="0" borderId="1" xfId="2" applyNumberFormat="1" applyFont="1" applyBorder="1" applyAlignment="1">
      <alignment horizontal="center" vertical="center"/>
    </xf>
    <xf numFmtId="1" fontId="7" fillId="0" borderId="1" xfId="2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</cellXfs>
  <cellStyles count="3">
    <cellStyle name="Normal" xfId="0" builtinId="0"/>
    <cellStyle name="Normal 2" xfId="1" xr:uid="{ECC96F3D-3BAC-4146-A450-3A41E1DBE0AD}"/>
    <cellStyle name="Normal 3" xfId="2" xr:uid="{070931CE-C771-FA4B-86DF-6EB382760D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/>
            </a:pPr>
            <a:r>
              <a:rPr lang="en-US" b="0"/>
              <a:t>Average Working Per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CHARTS!$K$1</c:f>
              <c:strCache>
                <c:ptCount val="1"/>
                <c:pt idx="0">
                  <c:v>Average Working Child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0E-8A43-9A1E-1CA6B30DA457}"/>
              </c:ext>
            </c:extLst>
          </c:dPt>
          <c:dPt>
            <c:idx val="13"/>
            <c:invertIfNegative val="0"/>
            <c:bubble3D val="0"/>
            <c:spPr>
              <a:solidFill>
                <a:srgbClr val="006FBF"/>
              </a:solidFill>
            </c:spPr>
            <c:extLst>
              <c:ext xmlns:c16="http://schemas.microsoft.com/office/drawing/2014/chart" uri="{C3380CC4-5D6E-409C-BE32-E72D297353CC}">
                <c16:uniqueId val="{00000003-AD0E-8A43-9A1E-1CA6B30DA457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0E-8A43-9A1E-1CA6B30DA457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500" b="1">
                    <a:solidFill>
                      <a:srgbClr val="FF0000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CHARTS!$A$2:$A$18</c:f>
              <c:strCache>
                <c:ptCount val="17"/>
                <c:pt idx="0">
                  <c:v>X</c:v>
                </c:pt>
                <c:pt idx="1">
                  <c:v>IV-A</c:v>
                </c:pt>
                <c:pt idx="2">
                  <c:v>XII</c:v>
                </c:pt>
                <c:pt idx="3">
                  <c:v>VII</c:v>
                </c:pt>
                <c:pt idx="4">
                  <c:v>V</c:v>
                </c:pt>
                <c:pt idx="5">
                  <c:v>VI</c:v>
                </c:pt>
                <c:pt idx="6">
                  <c:v>VIII</c:v>
                </c:pt>
                <c:pt idx="7">
                  <c:v>XIII</c:v>
                </c:pt>
                <c:pt idx="8">
                  <c:v>I</c:v>
                </c:pt>
                <c:pt idx="9">
                  <c:v>BARMM</c:v>
                </c:pt>
                <c:pt idx="10">
                  <c:v>IX</c:v>
                </c:pt>
                <c:pt idx="11">
                  <c:v>III</c:v>
                </c:pt>
                <c:pt idx="12">
                  <c:v>IV-B</c:v>
                </c:pt>
                <c:pt idx="13">
                  <c:v>XI</c:v>
                </c:pt>
                <c:pt idx="14">
                  <c:v>II</c:v>
                </c:pt>
                <c:pt idx="15">
                  <c:v>NCR</c:v>
                </c:pt>
                <c:pt idx="16">
                  <c:v>CAR</c:v>
                </c:pt>
              </c:strCache>
            </c:strRef>
          </c:cat>
          <c:val>
            <c:numRef>
              <c:f>CHARTS!$K$2:$K$18</c:f>
              <c:numCache>
                <c:formatCode>0.00</c:formatCode>
                <c:ptCount val="17"/>
                <c:pt idx="0">
                  <c:v>142</c:v>
                </c:pt>
                <c:pt idx="1">
                  <c:v>126.66666666666667</c:v>
                </c:pt>
                <c:pt idx="2">
                  <c:v>122</c:v>
                </c:pt>
                <c:pt idx="3">
                  <c:v>110.33333333333333</c:v>
                </c:pt>
                <c:pt idx="4">
                  <c:v>100</c:v>
                </c:pt>
                <c:pt idx="5">
                  <c:v>87</c:v>
                </c:pt>
                <c:pt idx="6">
                  <c:v>72.333333333333329</c:v>
                </c:pt>
                <c:pt idx="7">
                  <c:v>69.333333333333329</c:v>
                </c:pt>
                <c:pt idx="8">
                  <c:v>69.333333333333329</c:v>
                </c:pt>
                <c:pt idx="9">
                  <c:v>69</c:v>
                </c:pt>
                <c:pt idx="10">
                  <c:v>62</c:v>
                </c:pt>
                <c:pt idx="11">
                  <c:v>52</c:v>
                </c:pt>
                <c:pt idx="12">
                  <c:v>46</c:v>
                </c:pt>
                <c:pt idx="13">
                  <c:v>42</c:v>
                </c:pt>
                <c:pt idx="14">
                  <c:v>32</c:v>
                </c:pt>
                <c:pt idx="15">
                  <c:v>20.333333333333332</c:v>
                </c:pt>
                <c:pt idx="16">
                  <c:v>17.333333333333332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0E-8A43-9A1E-1CA6B30DA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377437008"/>
        <c:axId val="377438720"/>
      </c:barChart>
      <c:catAx>
        <c:axId val="37743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377438720"/>
        <c:crosses val="autoZero"/>
        <c:auto val="1"/>
        <c:lblAlgn val="ctr"/>
        <c:lblOffset val="100"/>
        <c:noMultiLvlLbl val="0"/>
      </c:catAx>
      <c:valAx>
        <c:axId val="377438720"/>
        <c:scaling>
          <c:orientation val="minMax"/>
          <c:max val="160"/>
          <c:min val="0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377437008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>
      <a:noFill/>
    </a:ln>
  </c:spPr>
  <c:txPr>
    <a:bodyPr/>
    <a:lstStyle/>
    <a:p>
      <a:pPr>
        <a:defRPr sz="2000">
          <a:solidFill>
            <a:schemeClr val="tx1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MATRIX!$F$1</c:f>
              <c:strCache>
                <c:ptCount val="1"/>
                <c:pt idx="0">
                  <c:v>FINAL 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4772848515640076E-3"/>
                  <c:y val="-1.2436262925525122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08DB309-6EA2-1D46-8701-1C040AA4CEA4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EA4335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6.7266876161049288E-2"/>
                      <c:h val="6.718159432664834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93F-BF48-A3D2-2EED52D89B50}"/>
                </c:ext>
              </c:extLst>
            </c:dLbl>
            <c:dLbl>
              <c:idx val="1"/>
              <c:layout>
                <c:manualLayout>
                  <c:x val="-5.6364089644492292E-2"/>
                  <c:y val="-1.306239461886094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A651D93-63B4-DB48-9D23-EBE828102D97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EA4335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7.2855743177325016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93F-BF48-A3D2-2EED52D89B50}"/>
                </c:ext>
              </c:extLst>
            </c:dLbl>
            <c:dLbl>
              <c:idx val="2"/>
              <c:layout>
                <c:manualLayout>
                  <c:x val="-6.9990892944892788E-2"/>
                  <c:y val="-2.0193871347411105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50F4A31-E02B-7D4D-8C66-D5509FB99458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EA4335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6.4667184345539711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93F-BF48-A3D2-2EED52D89B50}"/>
                </c:ext>
              </c:extLst>
            </c:dLbl>
            <c:dLbl>
              <c:idx val="3"/>
              <c:layout>
                <c:manualLayout>
                  <c:x val="-4.8328675369225395E-2"/>
                  <c:y val="1.4939705549219608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2267C6B-CE4E-1E45-9EC2-2D4A1A4CC7DA}" type="CELLRANGE">
                      <a:rPr lang="en-US">
                        <a:solidFill>
                          <a:schemeClr val="tx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6.7173894456912769E-2"/>
                      <c:h val="6.178225708135243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93F-BF48-A3D2-2EED52D89B50}"/>
                </c:ext>
              </c:extLst>
            </c:dLbl>
            <c:dLbl>
              <c:idx val="4"/>
              <c:layout>
                <c:manualLayout>
                  <c:x val="-2.9211327538471075E-2"/>
                  <c:y val="-9.6444087394912375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2EB80EF-FFB7-324F-8968-7DCCBBC7918F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EA4335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6.0908191383849321E-2"/>
                      <c:h val="6.44819884785950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093F-BF48-A3D2-2EED52D89B50}"/>
                </c:ext>
              </c:extLst>
            </c:dLbl>
            <c:dLbl>
              <c:idx val="5"/>
              <c:layout>
                <c:manualLayout>
                  <c:x val="-1.1424194201903434E-2"/>
                  <c:y val="7.1698426084274612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>
                            <a:alpha val="99318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ED69F98-BCFC-D049-B19E-0B80E981B851}" type="CELLRANGE">
                      <a:rPr lang="en-US">
                        <a:ln>
                          <a:noFill/>
                        </a:ln>
                        <a:solidFill>
                          <a:schemeClr val="bg1">
                            <a:alpha val="99318"/>
                          </a:schemeClr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>
                              <a:alpha val="99318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EA4335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>
                          <a:alpha val="99318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6.5609465768426703E-2"/>
                      <c:h val="8.322956323678262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93F-BF48-A3D2-2EED52D89B50}"/>
                </c:ext>
              </c:extLst>
            </c:dLbl>
            <c:dLbl>
              <c:idx val="6"/>
              <c:layout>
                <c:manualLayout>
                  <c:x val="-5.2896639350713148E-2"/>
                  <c:y val="-6.9862969304037752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B78747D-AD7D-554C-8C2F-8274932363AA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6.9040103667148189E-2"/>
                      <c:h val="6.44819884785950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93F-BF48-A3D2-2EED52D89B50}"/>
                </c:ext>
              </c:extLst>
            </c:dLbl>
            <c:dLbl>
              <c:idx val="7"/>
              <c:layout>
                <c:manualLayout>
                  <c:x val="-2.4292355105963486E-2"/>
                  <c:y val="-1.5117054143760572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E6F9355-1A4B-FE4F-8DD6-0E8CE8C7825C}" type="CELLRANGE">
                      <a:rPr lang="en-US">
                        <a:solidFill>
                          <a:schemeClr val="bg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EA4335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6.4979526393050685E-2"/>
                      <c:h val="6.718155384857053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093F-BF48-A3D2-2EED52D89B50}"/>
                </c:ext>
              </c:extLst>
            </c:dLbl>
            <c:dLbl>
              <c:idx val="8"/>
              <c:layout>
                <c:manualLayout>
                  <c:x val="-3.6421006109107474E-3"/>
                  <c:y val="-2.1852636509154373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EBF7460-07E1-2F4C-BA79-CFBEBA407FDD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7.8344842940575435E-2"/>
                      <c:h val="5.908285773864422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93F-BF48-A3D2-2EED52D89B50}"/>
                </c:ext>
              </c:extLst>
            </c:dLbl>
            <c:dLbl>
              <c:idx val="9"/>
              <c:layout>
                <c:manualLayout>
                  <c:x val="-1.0086421217463504E-2"/>
                  <c:y val="-2.177354734264306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878694F-CC78-0B4E-87F8-4D23D32E867C}" type="CELLRANGE">
                      <a:rPr lang="en-US">
                        <a:solidFill>
                          <a:schemeClr val="tx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DAE7FE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4.4967247392593841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093F-BF48-A3D2-2EED52D89B50}"/>
                </c:ext>
              </c:extLst>
            </c:dLbl>
            <c:dLbl>
              <c:idx val="10"/>
              <c:layout>
                <c:manualLayout>
                  <c:x val="-1.8781020919843197E-2"/>
                  <c:y val="-6.5811184849910942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13A29A6-30FC-9F42-A2D4-31F3FAD47CD7}" type="CELLRANGE">
                      <a:rPr lang="en-US" sz="1800">
                        <a:solidFill>
                          <a:schemeClr val="tx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DAE7FE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1679665816261481"/>
                      <c:h val="8.30665496364558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093F-BF48-A3D2-2EED52D89B50}"/>
                </c:ext>
              </c:extLst>
            </c:dLbl>
            <c:dLbl>
              <c:idx val="11"/>
              <c:layout>
                <c:manualLayout>
                  <c:x val="-2.4439788644281781E-2"/>
                  <c:y val="-1.5010889720824549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D0A08FC-1909-A249-91B1-BA702ECE72D7}" type="CELLRANGE">
                      <a:rPr lang="en-US">
                        <a:solidFill>
                          <a:schemeClr val="tx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DAE7FE"/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6.4667184345539711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093F-BF48-A3D2-2EED52D89B50}"/>
                </c:ext>
              </c:extLst>
            </c:dLbl>
            <c:dLbl>
              <c:idx val="12"/>
              <c:layout>
                <c:manualLayout>
                  <c:x val="-4.9373031926744276E-2"/>
                  <c:y val="1.173659318146556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6BF25E9-0532-8D41-A02E-75FCAD9B7070}" type="CELLRANGE">
                      <a:rPr lang="en-US">
                        <a:solidFill>
                          <a:schemeClr val="tx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7.3961182817651946E-2"/>
                      <c:h val="5.908285773864422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093F-BF48-A3D2-2EED52D89B50}"/>
                </c:ext>
              </c:extLst>
            </c:dLbl>
            <c:dLbl>
              <c:idx val="13"/>
              <c:layout>
                <c:manualLayout>
                  <c:x val="-9.7786851128993019E-2"/>
                  <c:y val="-3.6104812339299852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1843068-F2FE-9440-8C13-EDB8E382771D}" type="CELLRANGE">
                      <a:rPr lang="en-US"/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5.3170690073379698E-2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093F-BF48-A3D2-2EED52D89B50}"/>
                </c:ext>
              </c:extLst>
            </c:dLbl>
            <c:dLbl>
              <c:idx val="14"/>
              <c:layout>
                <c:manualLayout>
                  <c:x val="-1.2741384101228753E-2"/>
                  <c:y val="-2.2039447706663036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C3AA395-CF09-1344-AA28-4666FAAEC6BC}" type="CELLRANGE">
                      <a:rPr lang="en-US">
                        <a:solidFill>
                          <a:schemeClr val="tx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5.0836028029044952E-2"/>
                      <c:h val="6.44819884785950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093F-BF48-A3D2-2EED52D89B50}"/>
                </c:ext>
              </c:extLst>
            </c:dLbl>
            <c:dLbl>
              <c:idx val="15"/>
              <c:layout>
                <c:manualLayout>
                  <c:x val="-2.7182370432437441E-2"/>
                  <c:y val="-9.6405139956789194E-3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tx1"/>
                        </a:solidFill>
                      </a:rPr>
                      <a:t>CAR</a:t>
                    </a:r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8.5274936715754465E-2"/>
                      <c:h val="5.9117602562130681E-2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0F-093F-BF48-A3D2-2EED52D89B50}"/>
                </c:ext>
              </c:extLst>
            </c:dLbl>
            <c:dLbl>
              <c:idx val="16"/>
              <c:layout>
                <c:manualLayout>
                  <c:x val="-6.6044289218302576E-2"/>
                  <c:y val="-2.2571030256927829E-2"/>
                </c:manualLayout>
              </c:layout>
              <c:tx>
                <c:rich>
                  <a:bodyPr rot="0" spcFirstLastPara="1" vertOverflow="overflow" horzOverflow="overflow" vert="horz" wrap="square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73C6D49-6872-654E-B577-2297FDC68A43}" type="CELLRANGE">
                      <a:rPr lang="en-US">
                        <a:solidFill>
                          <a:schemeClr val="tx1"/>
                        </a:solidFill>
                      </a:rPr>
                      <a:pPr>
                        <a:defRPr sz="2000">
                          <a:ln>
                            <a:noFill/>
                          </a:ln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187977663993853"/>
                      <c:h val="6.178236005833959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093F-BF48-A3D2-2EED52D89B50}"/>
                </c:ext>
              </c:extLst>
            </c:dLbl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overflow" horzOverflow="overflow" vert="horz" wrap="square" anchor="ctr" anchorCtr="1">
                <a:noAutofit/>
              </a:bodyPr>
              <a:lstStyle/>
              <a:p>
                <a:pPr>
                  <a:defRPr sz="20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MATRIX!$D$2:$D$18</c:f>
              <c:numCache>
                <c:formatCode>0</c:formatCode>
                <c:ptCount val="17"/>
                <c:pt idx="0">
                  <c:v>-1053</c:v>
                </c:pt>
                <c:pt idx="1">
                  <c:v>27472.666666666657</c:v>
                </c:pt>
                <c:pt idx="2">
                  <c:v>105585.66666666666</c:v>
                </c:pt>
                <c:pt idx="3">
                  <c:v>-45296</c:v>
                </c:pt>
                <c:pt idx="4">
                  <c:v>20133.333333333343</c:v>
                </c:pt>
                <c:pt idx="5">
                  <c:v>63981.999999999971</c:v>
                </c:pt>
                <c:pt idx="6">
                  <c:v>-69409.333333333343</c:v>
                </c:pt>
                <c:pt idx="7">
                  <c:v>12279.666666666657</c:v>
                </c:pt>
                <c:pt idx="8">
                  <c:v>-60302</c:v>
                </c:pt>
                <c:pt idx="9">
                  <c:v>25094.333333333343</c:v>
                </c:pt>
                <c:pt idx="10">
                  <c:v>118013.66666666666</c:v>
                </c:pt>
                <c:pt idx="11">
                  <c:v>22987.333333333343</c:v>
                </c:pt>
                <c:pt idx="12">
                  <c:v>-65351.333333333343</c:v>
                </c:pt>
                <c:pt idx="13">
                  <c:v>0</c:v>
                </c:pt>
                <c:pt idx="14">
                  <c:v>-154270.33333333334</c:v>
                </c:pt>
                <c:pt idx="15">
                  <c:v>-47196.333333333343</c:v>
                </c:pt>
                <c:pt idx="16">
                  <c:v>-198964.33333333334</c:v>
                </c:pt>
              </c:numCache>
            </c:numRef>
          </c:xVal>
          <c:yVal>
            <c:numRef>
              <c:f>MATRIX!$F$2:$F$18</c:f>
              <c:numCache>
                <c:formatCode>0.00</c:formatCode>
                <c:ptCount val="17"/>
                <c:pt idx="0">
                  <c:v>-0.9954337899543384</c:v>
                </c:pt>
                <c:pt idx="1">
                  <c:v>-0.78538812785388079</c:v>
                </c:pt>
                <c:pt idx="2">
                  <c:v>-0.42009132420091372</c:v>
                </c:pt>
                <c:pt idx="3">
                  <c:v>0.72146118721461194</c:v>
                </c:pt>
                <c:pt idx="4">
                  <c:v>-0.56164383561643838</c:v>
                </c:pt>
                <c:pt idx="5">
                  <c:v>-0.24200913242009178</c:v>
                </c:pt>
                <c:pt idx="6">
                  <c:v>0</c:v>
                </c:pt>
                <c:pt idx="7">
                  <c:v>-4.1095890410958902E-2</c:v>
                </c:pt>
                <c:pt idx="8">
                  <c:v>0</c:v>
                </c:pt>
                <c:pt idx="9">
                  <c:v>0.10045662100456616</c:v>
                </c:pt>
                <c:pt idx="10">
                  <c:v>-4.5662100456620352E-3</c:v>
                </c:pt>
                <c:pt idx="11">
                  <c:v>0.23744292237442877</c:v>
                </c:pt>
                <c:pt idx="12">
                  <c:v>-0.31963470319634696</c:v>
                </c:pt>
                <c:pt idx="13">
                  <c:v>-0.37442922374429216</c:v>
                </c:pt>
                <c:pt idx="14">
                  <c:v>-0.51141552511415522</c:v>
                </c:pt>
                <c:pt idx="15">
                  <c:v>-0.67123287671232879</c:v>
                </c:pt>
                <c:pt idx="16">
                  <c:v>-0.71232876712328763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MATRIX!$A$2:$A$18</c15:f>
                <c15:dlblRangeCache>
                  <c:ptCount val="17"/>
                  <c:pt idx="0">
                    <c:v>X</c:v>
                  </c:pt>
                  <c:pt idx="1">
                    <c:v>IV-A</c:v>
                  </c:pt>
                  <c:pt idx="2">
                    <c:v>V</c:v>
                  </c:pt>
                  <c:pt idx="3">
                    <c:v>XII</c:v>
                  </c:pt>
                  <c:pt idx="4">
                    <c:v>VII</c:v>
                  </c:pt>
                  <c:pt idx="5">
                    <c:v>VI</c:v>
                  </c:pt>
                  <c:pt idx="6">
                    <c:v>XIII</c:v>
                  </c:pt>
                  <c:pt idx="7">
                    <c:v>VIII</c:v>
                  </c:pt>
                  <c:pt idx="8">
                    <c:v>I</c:v>
                  </c:pt>
                  <c:pt idx="9">
                    <c:v>IX</c:v>
                  </c:pt>
                  <c:pt idx="10">
                    <c:v>BARMM</c:v>
                  </c:pt>
                  <c:pt idx="11">
                    <c:v>III</c:v>
                  </c:pt>
                  <c:pt idx="12">
                    <c:v>IV-B</c:v>
                  </c:pt>
                  <c:pt idx="13">
                    <c:v>XI</c:v>
                  </c:pt>
                  <c:pt idx="14">
                    <c:v>II</c:v>
                  </c:pt>
                  <c:pt idx="15">
                    <c:v>NCR</c:v>
                  </c:pt>
                  <c:pt idx="16">
                    <c:v>CAR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093F-BF48-A3D2-2EED52D89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855920"/>
        <c:axId val="1129857632"/>
      </c:scatterChart>
      <c:valAx>
        <c:axId val="1129855920"/>
        <c:scaling>
          <c:orientation val="minMax"/>
          <c:max val="118014"/>
          <c:min val="-198964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57632"/>
        <c:crosses val="autoZero"/>
        <c:crossBetween val="midCat"/>
      </c:valAx>
      <c:valAx>
        <c:axId val="1129857632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85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76020</xdr:colOff>
      <xdr:row>0</xdr:row>
      <xdr:rowOff>197338</xdr:rowOff>
    </xdr:from>
    <xdr:to>
      <xdr:col>36</xdr:col>
      <xdr:colOff>736153</xdr:colOff>
      <xdr:row>75</xdr:row>
      <xdr:rowOff>51865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8777DA-71AB-7C47-8AAC-E04E6AE8E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311151</xdr:colOff>
      <xdr:row>2</xdr:row>
      <xdr:rowOff>44451</xdr:rowOff>
    </xdr:from>
    <xdr:to>
      <xdr:col>22</xdr:col>
      <xdr:colOff>495300</xdr:colOff>
      <xdr:row>39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17BC43-0589-8940-8B07-F5B262DED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/Downloads/Education_Worksheet4.xlsx" TargetMode="External"/><Relationship Id="rId1" Type="http://schemas.openxmlformats.org/officeDocument/2006/relationships/externalLinkPath" Target="/Users/admin/Downloads/Education_Worksheet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rollment Count"/>
      <sheetName val="4Ps Children Count"/>
      <sheetName val="4Ps Share in Enrollment DepEd"/>
      <sheetName val="Public Schools Count 2020"/>
      <sheetName val="Public and Private Schools 2021"/>
      <sheetName val="Classroom Ratio"/>
      <sheetName val="Teacher Ratio"/>
      <sheetName val="Sheet2"/>
      <sheetName val="Matrix Chart (2)"/>
      <sheetName val="Educ Perf Ranking"/>
      <sheetName val="Matrix Chart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K1" t="str">
            <v>Average Working Child</v>
          </cell>
        </row>
        <row r="2">
          <cell r="A2" t="str">
            <v>X</v>
          </cell>
          <cell r="K2">
            <v>142</v>
          </cell>
        </row>
        <row r="3">
          <cell r="A3" t="str">
            <v>IV-A</v>
          </cell>
          <cell r="K3">
            <v>126.66666666666667</v>
          </cell>
        </row>
        <row r="4">
          <cell r="A4" t="str">
            <v>XII</v>
          </cell>
          <cell r="K4">
            <v>122</v>
          </cell>
        </row>
        <row r="5">
          <cell r="A5" t="str">
            <v>VII</v>
          </cell>
          <cell r="K5">
            <v>110.33333333333333</v>
          </cell>
        </row>
        <row r="6">
          <cell r="A6" t="str">
            <v>V</v>
          </cell>
          <cell r="K6">
            <v>100</v>
          </cell>
        </row>
        <row r="7">
          <cell r="A7" t="str">
            <v>VI</v>
          </cell>
          <cell r="K7">
            <v>87</v>
          </cell>
        </row>
        <row r="8">
          <cell r="A8" t="str">
            <v>VIII</v>
          </cell>
          <cell r="K8">
            <v>72.333333333333329</v>
          </cell>
        </row>
        <row r="9">
          <cell r="A9" t="str">
            <v>XIII</v>
          </cell>
          <cell r="K9">
            <v>69.333333333333329</v>
          </cell>
        </row>
        <row r="10">
          <cell r="A10" t="str">
            <v>I</v>
          </cell>
          <cell r="K10">
            <v>69.333333333333329</v>
          </cell>
        </row>
        <row r="11">
          <cell r="A11" t="str">
            <v>BARMM</v>
          </cell>
          <cell r="K11">
            <v>69</v>
          </cell>
        </row>
        <row r="12">
          <cell r="A12" t="str">
            <v>IX</v>
          </cell>
          <cell r="K12">
            <v>62</v>
          </cell>
        </row>
        <row r="13">
          <cell r="A13" t="str">
            <v>III</v>
          </cell>
          <cell r="K13">
            <v>52</v>
          </cell>
        </row>
        <row r="14">
          <cell r="A14" t="str">
            <v>IV-B</v>
          </cell>
          <cell r="K14">
            <v>46</v>
          </cell>
        </row>
        <row r="15">
          <cell r="A15" t="str">
            <v>XI</v>
          </cell>
          <cell r="K15">
            <v>42</v>
          </cell>
        </row>
        <row r="16">
          <cell r="A16" t="str">
            <v>II</v>
          </cell>
          <cell r="K16">
            <v>32</v>
          </cell>
        </row>
        <row r="17">
          <cell r="A17" t="str">
            <v>NCR</v>
          </cell>
          <cell r="K17">
            <v>20.333333333333332</v>
          </cell>
        </row>
        <row r="18">
          <cell r="A18" t="str">
            <v>CAR</v>
          </cell>
          <cell r="K18">
            <v>17.333333333333332</v>
          </cell>
        </row>
      </sheetData>
      <sheetData sheetId="8">
        <row r="2">
          <cell r="A2" t="str">
            <v>X</v>
          </cell>
          <cell r="D2">
            <v>-1053</v>
          </cell>
          <cell r="F2">
            <v>-0.9954337899543384</v>
          </cell>
        </row>
        <row r="3">
          <cell r="A3" t="str">
            <v>IV-A</v>
          </cell>
          <cell r="D3">
            <v>27472.666666666657</v>
          </cell>
          <cell r="F3">
            <v>-0.78538812785388079</v>
          </cell>
        </row>
        <row r="4">
          <cell r="A4" t="str">
            <v>V</v>
          </cell>
          <cell r="D4">
            <v>105585.66666666666</v>
          </cell>
          <cell r="F4">
            <v>-0.42009132420091372</v>
          </cell>
        </row>
        <row r="5">
          <cell r="A5" t="str">
            <v>XII</v>
          </cell>
          <cell r="D5">
            <v>-45296</v>
          </cell>
          <cell r="F5">
            <v>0.72146118721461194</v>
          </cell>
        </row>
        <row r="6">
          <cell r="A6" t="str">
            <v>VII</v>
          </cell>
          <cell r="D6">
            <v>20133.333333333343</v>
          </cell>
          <cell r="F6">
            <v>-0.56164383561643838</v>
          </cell>
        </row>
        <row r="7">
          <cell r="A7" t="str">
            <v>VI</v>
          </cell>
          <cell r="D7">
            <v>63981.999999999971</v>
          </cell>
          <cell r="F7">
            <v>-0.24200913242009178</v>
          </cell>
        </row>
        <row r="8">
          <cell r="A8" t="str">
            <v>XIII</v>
          </cell>
          <cell r="D8">
            <v>-69409.333333333343</v>
          </cell>
          <cell r="F8">
            <v>0</v>
          </cell>
        </row>
        <row r="9">
          <cell r="A9" t="str">
            <v>VIII</v>
          </cell>
          <cell r="D9">
            <v>12279.666666666657</v>
          </cell>
          <cell r="F9">
            <v>-4.1095890410958902E-2</v>
          </cell>
        </row>
        <row r="10">
          <cell r="A10" t="str">
            <v>I</v>
          </cell>
          <cell r="D10">
            <v>-60302</v>
          </cell>
          <cell r="F10">
            <v>0</v>
          </cell>
        </row>
        <row r="11">
          <cell r="A11" t="str">
            <v>IX</v>
          </cell>
          <cell r="D11">
            <v>25094.333333333343</v>
          </cell>
          <cell r="F11">
            <v>0.10045662100456616</v>
          </cell>
        </row>
        <row r="12">
          <cell r="A12" t="str">
            <v>BARMM</v>
          </cell>
          <cell r="D12">
            <v>118013.66666666666</v>
          </cell>
          <cell r="F12">
            <v>-4.5662100456620352E-3</v>
          </cell>
        </row>
        <row r="13">
          <cell r="A13" t="str">
            <v>III</v>
          </cell>
          <cell r="D13">
            <v>22987.333333333343</v>
          </cell>
          <cell r="F13">
            <v>0.23744292237442877</v>
          </cell>
        </row>
        <row r="14">
          <cell r="A14" t="str">
            <v>IV-B</v>
          </cell>
          <cell r="D14">
            <v>-65351.333333333343</v>
          </cell>
          <cell r="F14">
            <v>-0.31963470319634696</v>
          </cell>
        </row>
        <row r="15">
          <cell r="A15" t="str">
            <v>XI</v>
          </cell>
          <cell r="D15">
            <v>0</v>
          </cell>
          <cell r="F15">
            <v>-0.37442922374429216</v>
          </cell>
        </row>
        <row r="16">
          <cell r="A16" t="str">
            <v>II</v>
          </cell>
          <cell r="D16">
            <v>-154270.33333333334</v>
          </cell>
          <cell r="F16">
            <v>-0.51141552511415522</v>
          </cell>
        </row>
        <row r="17">
          <cell r="A17" t="str">
            <v>NCR</v>
          </cell>
          <cell r="D17">
            <v>-47196.333333333343</v>
          </cell>
          <cell r="F17">
            <v>-0.67123287671232879</v>
          </cell>
        </row>
        <row r="18">
          <cell r="A18" t="str">
            <v>CAR</v>
          </cell>
          <cell r="D18">
            <v>-198964.33333333334</v>
          </cell>
          <cell r="F18">
            <v>-0.71232876712328763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B1C6-11E7-F443-9751-260CB4960627}">
  <dimension ref="A1:N52"/>
  <sheetViews>
    <sheetView zoomScale="50" workbookViewId="0">
      <selection activeCell="F22" sqref="F22"/>
    </sheetView>
  </sheetViews>
  <sheetFormatPr baseColWidth="10" defaultRowHeight="16" x14ac:dyDescent="0.2"/>
  <cols>
    <col min="1" max="1" width="11.83203125" bestFit="1" customWidth="1"/>
    <col min="2" max="2" width="18.33203125" bestFit="1" customWidth="1"/>
    <col min="3" max="3" width="21" bestFit="1" customWidth="1"/>
    <col min="4" max="4" width="19.83203125" bestFit="1" customWidth="1"/>
    <col min="5" max="5" width="18.33203125" bestFit="1" customWidth="1"/>
    <col min="6" max="6" width="21" bestFit="1" customWidth="1"/>
    <col min="7" max="7" width="19.83203125" bestFit="1" customWidth="1"/>
    <col min="8" max="8" width="18.33203125" bestFit="1" customWidth="1"/>
    <col min="9" max="9" width="21" bestFit="1" customWidth="1"/>
    <col min="10" max="11" width="19.83203125" bestFit="1" customWidth="1"/>
  </cols>
  <sheetData>
    <row r="1" spans="1:14" s="5" customFormat="1" x14ac:dyDescent="0.2">
      <c r="A1" s="16" t="s">
        <v>0</v>
      </c>
      <c r="B1" s="16" t="s">
        <v>36</v>
      </c>
      <c r="C1" s="16" t="s">
        <v>37</v>
      </c>
      <c r="D1" s="16" t="s">
        <v>38</v>
      </c>
      <c r="E1" s="16" t="s">
        <v>39</v>
      </c>
      <c r="F1" s="16" t="s">
        <v>40</v>
      </c>
      <c r="G1" s="4"/>
      <c r="H1" s="3"/>
      <c r="I1" s="3"/>
      <c r="J1" s="4"/>
      <c r="K1" s="3"/>
      <c r="L1" s="3"/>
      <c r="M1" s="3"/>
      <c r="N1" s="3"/>
    </row>
    <row r="2" spans="1:14" x14ac:dyDescent="0.2">
      <c r="A2" s="1" t="s">
        <v>21</v>
      </c>
      <c r="B2" s="1">
        <v>2020</v>
      </c>
      <c r="C2" s="1" t="s">
        <v>41</v>
      </c>
      <c r="D2" s="1">
        <v>1507</v>
      </c>
      <c r="E2" s="1">
        <v>65</v>
      </c>
      <c r="F2" s="1">
        <v>4.32</v>
      </c>
      <c r="G2" s="2"/>
      <c r="H2" s="2"/>
      <c r="I2" s="2"/>
      <c r="J2" s="2"/>
      <c r="K2" s="2"/>
      <c r="L2" s="2"/>
      <c r="M2" s="2"/>
      <c r="N2" s="2"/>
    </row>
    <row r="3" spans="1:14" x14ac:dyDescent="0.2">
      <c r="A3" s="1" t="s">
        <v>28</v>
      </c>
      <c r="B3" s="1">
        <v>2020</v>
      </c>
      <c r="C3" s="1" t="s">
        <v>42</v>
      </c>
      <c r="D3" s="1">
        <v>522</v>
      </c>
      <c r="E3" s="1">
        <v>10</v>
      </c>
      <c r="F3" s="1">
        <v>1.93</v>
      </c>
      <c r="G3" s="2"/>
      <c r="H3" s="2"/>
      <c r="I3" s="2"/>
      <c r="J3" s="2"/>
      <c r="K3" s="2"/>
      <c r="L3" s="2"/>
      <c r="M3" s="2"/>
      <c r="N3" s="2"/>
    </row>
    <row r="4" spans="1:14" x14ac:dyDescent="0.2">
      <c r="A4" s="1" t="s">
        <v>20</v>
      </c>
      <c r="B4" s="1">
        <v>2020</v>
      </c>
      <c r="C4" s="1" t="s">
        <v>42</v>
      </c>
      <c r="D4" s="1">
        <v>1439</v>
      </c>
      <c r="E4" s="1">
        <v>35</v>
      </c>
      <c r="F4" s="1">
        <v>2.4</v>
      </c>
      <c r="G4" s="2"/>
      <c r="H4" s="2"/>
      <c r="I4" s="2"/>
      <c r="J4" s="2"/>
      <c r="K4" s="2"/>
      <c r="L4" s="2"/>
      <c r="M4" s="2"/>
      <c r="N4" s="2"/>
    </row>
    <row r="5" spans="1:14" x14ac:dyDescent="0.2">
      <c r="A5" s="1" t="s">
        <v>26</v>
      </c>
      <c r="B5" s="1">
        <v>2020</v>
      </c>
      <c r="C5" s="1" t="s">
        <v>42</v>
      </c>
      <c r="D5" s="1">
        <v>1038</v>
      </c>
      <c r="E5" s="1">
        <v>23</v>
      </c>
      <c r="F5" s="1">
        <v>2.19</v>
      </c>
      <c r="G5" s="2"/>
      <c r="H5" s="2"/>
      <c r="I5" s="2"/>
      <c r="J5" s="2"/>
      <c r="K5" s="2"/>
      <c r="L5" s="2"/>
      <c r="M5" s="2"/>
      <c r="N5" s="2"/>
    </row>
    <row r="6" spans="1:14" x14ac:dyDescent="0.2">
      <c r="A6" s="1" t="s">
        <v>23</v>
      </c>
      <c r="B6" s="1">
        <v>2020</v>
      </c>
      <c r="C6" s="1" t="s">
        <v>42</v>
      </c>
      <c r="D6" s="1">
        <v>3262</v>
      </c>
      <c r="E6" s="1">
        <v>65</v>
      </c>
      <c r="F6" s="1">
        <v>2</v>
      </c>
      <c r="G6" s="2"/>
      <c r="H6" s="2"/>
      <c r="I6" s="2"/>
      <c r="J6" s="2"/>
      <c r="K6" s="2"/>
      <c r="L6" s="2"/>
      <c r="M6" s="2"/>
      <c r="N6" s="2"/>
    </row>
    <row r="7" spans="1:14" x14ac:dyDescent="0.2">
      <c r="A7" s="1" t="s">
        <v>13</v>
      </c>
      <c r="B7" s="1">
        <v>2020</v>
      </c>
      <c r="C7" s="1" t="s">
        <v>42</v>
      </c>
      <c r="D7" s="1">
        <v>4219</v>
      </c>
      <c r="E7" s="1">
        <v>78</v>
      </c>
      <c r="F7" s="1">
        <v>1.86</v>
      </c>
      <c r="G7" s="2"/>
      <c r="H7" s="2"/>
      <c r="I7" s="2"/>
      <c r="J7" s="2"/>
      <c r="K7" s="2"/>
      <c r="L7" s="2"/>
      <c r="M7" s="2"/>
      <c r="N7" s="2"/>
    </row>
    <row r="8" spans="1:14" x14ac:dyDescent="0.2">
      <c r="A8" s="1" t="s">
        <v>24</v>
      </c>
      <c r="B8" s="1">
        <v>2020</v>
      </c>
      <c r="C8" s="1" t="s">
        <v>42</v>
      </c>
      <c r="D8" s="1">
        <v>1035</v>
      </c>
      <c r="E8" s="1">
        <v>48</v>
      </c>
      <c r="F8" s="1">
        <v>4.67</v>
      </c>
      <c r="G8" s="2"/>
      <c r="H8" s="2"/>
      <c r="I8" s="2"/>
      <c r="J8" s="2"/>
      <c r="K8" s="2"/>
      <c r="L8" s="2"/>
      <c r="M8" s="2"/>
      <c r="N8" s="2"/>
    </row>
    <row r="9" spans="1:14" x14ac:dyDescent="0.2">
      <c r="A9" s="1" t="s">
        <v>22</v>
      </c>
      <c r="B9" s="1">
        <v>2020</v>
      </c>
      <c r="C9" s="1" t="s">
        <v>41</v>
      </c>
      <c r="D9" s="1">
        <v>1195</v>
      </c>
      <c r="E9" s="1">
        <v>34</v>
      </c>
      <c r="F9" s="1">
        <v>2.88</v>
      </c>
      <c r="G9" s="2"/>
      <c r="H9" s="2"/>
      <c r="I9" s="2"/>
      <c r="J9" s="2"/>
      <c r="K9" s="2"/>
      <c r="L9" s="2"/>
      <c r="M9" s="2"/>
      <c r="N9" s="2"/>
    </row>
    <row r="10" spans="1:14" x14ac:dyDescent="0.2">
      <c r="A10" s="1" t="s">
        <v>27</v>
      </c>
      <c r="B10" s="1">
        <v>2020</v>
      </c>
      <c r="C10" s="1" t="s">
        <v>42</v>
      </c>
      <c r="D10" s="1">
        <v>3348</v>
      </c>
      <c r="E10" s="1">
        <v>14</v>
      </c>
      <c r="F10" s="1">
        <v>0.42</v>
      </c>
      <c r="G10" s="2"/>
      <c r="H10" s="2"/>
      <c r="I10" s="2"/>
      <c r="J10" s="2"/>
      <c r="K10" s="2"/>
      <c r="L10" s="2"/>
      <c r="M10" s="2"/>
      <c r="N10" s="2"/>
    </row>
    <row r="11" spans="1:14" x14ac:dyDescent="0.2">
      <c r="A11" s="1" t="s">
        <v>16</v>
      </c>
      <c r="B11" s="1">
        <v>2020</v>
      </c>
      <c r="C11" s="1" t="s">
        <v>42</v>
      </c>
      <c r="D11" s="1">
        <v>2013</v>
      </c>
      <c r="E11" s="1">
        <v>97</v>
      </c>
      <c r="F11" s="1">
        <v>4.8099999999999996</v>
      </c>
      <c r="G11" s="2"/>
      <c r="H11" s="2"/>
      <c r="I11" s="2"/>
      <c r="J11" s="2"/>
      <c r="K11" s="2"/>
      <c r="L11" s="2"/>
      <c r="M11" s="2"/>
      <c r="N11" s="2"/>
    </row>
    <row r="12" spans="1:14" x14ac:dyDescent="0.2">
      <c r="A12" s="1" t="s">
        <v>17</v>
      </c>
      <c r="B12" s="1">
        <v>2020</v>
      </c>
      <c r="C12" s="1" t="s">
        <v>43</v>
      </c>
      <c r="D12" s="1">
        <v>2281</v>
      </c>
      <c r="E12" s="1">
        <v>49</v>
      </c>
      <c r="F12" s="1">
        <v>2.15</v>
      </c>
      <c r="G12" s="2"/>
      <c r="H12" s="2"/>
      <c r="I12" s="2"/>
      <c r="J12" s="2"/>
      <c r="K12" s="2"/>
      <c r="L12" s="2"/>
      <c r="M12" s="2"/>
      <c r="N12" s="2"/>
    </row>
    <row r="13" spans="1:14" x14ac:dyDescent="0.2">
      <c r="A13" s="1" t="s">
        <v>15</v>
      </c>
      <c r="B13" s="1">
        <v>2020</v>
      </c>
      <c r="C13" s="1" t="s">
        <v>43</v>
      </c>
      <c r="D13" s="1">
        <v>2295</v>
      </c>
      <c r="E13" s="1">
        <v>57</v>
      </c>
      <c r="F13" s="1">
        <v>2.5</v>
      </c>
      <c r="G13" s="2"/>
      <c r="H13" s="2"/>
      <c r="I13" s="2"/>
      <c r="J13" s="2"/>
      <c r="K13" s="2"/>
      <c r="L13" s="2"/>
      <c r="M13" s="2"/>
      <c r="N13" s="2"/>
    </row>
    <row r="14" spans="1:14" x14ac:dyDescent="0.2">
      <c r="A14" s="1" t="s">
        <v>18</v>
      </c>
      <c r="B14" s="1">
        <v>2020</v>
      </c>
      <c r="C14" s="1" t="s">
        <v>43</v>
      </c>
      <c r="D14" s="1">
        <v>1560</v>
      </c>
      <c r="E14" s="1">
        <v>53</v>
      </c>
      <c r="F14" s="1">
        <v>3.38</v>
      </c>
      <c r="G14" s="2"/>
      <c r="H14" s="2"/>
      <c r="I14" s="2"/>
      <c r="J14" s="2"/>
      <c r="K14" s="2"/>
      <c r="L14" s="2"/>
      <c r="M14" s="2"/>
      <c r="N14" s="2"/>
    </row>
    <row r="15" spans="1:14" x14ac:dyDescent="0.2">
      <c r="A15" s="1" t="s">
        <v>12</v>
      </c>
      <c r="B15" s="1">
        <v>2020</v>
      </c>
      <c r="C15" s="1" t="s">
        <v>41</v>
      </c>
      <c r="D15" s="1">
        <v>1498</v>
      </c>
      <c r="E15" s="1">
        <v>108</v>
      </c>
      <c r="F15" s="1">
        <v>7.22</v>
      </c>
      <c r="G15" s="2"/>
      <c r="H15" s="2"/>
      <c r="I15" s="2"/>
      <c r="J15" s="2"/>
      <c r="K15" s="2"/>
      <c r="L15" s="2"/>
      <c r="M15" s="2"/>
      <c r="N15" s="2"/>
    </row>
    <row r="16" spans="1:14" x14ac:dyDescent="0.2">
      <c r="A16" s="1" t="s">
        <v>25</v>
      </c>
      <c r="B16" s="1">
        <v>2020</v>
      </c>
      <c r="C16" s="1" t="s">
        <v>41</v>
      </c>
      <c r="D16" s="1">
        <v>1579</v>
      </c>
      <c r="E16" s="1">
        <v>19</v>
      </c>
      <c r="F16" s="1">
        <v>1.18</v>
      </c>
      <c r="G16" s="2"/>
      <c r="H16" s="2"/>
      <c r="I16" s="2"/>
      <c r="J16" s="2"/>
      <c r="K16" s="2"/>
      <c r="L16" s="2"/>
      <c r="M16" s="2"/>
      <c r="N16" s="2"/>
    </row>
    <row r="17" spans="1:14" x14ac:dyDescent="0.2">
      <c r="A17" s="1" t="s">
        <v>14</v>
      </c>
      <c r="B17" s="1">
        <v>2020</v>
      </c>
      <c r="C17" s="1" t="s">
        <v>41</v>
      </c>
      <c r="D17" s="1">
        <v>1529</v>
      </c>
      <c r="E17" s="1">
        <v>67</v>
      </c>
      <c r="F17" s="1">
        <v>4.4000000000000004</v>
      </c>
      <c r="G17" s="2"/>
      <c r="H17" s="2"/>
      <c r="I17" s="2"/>
      <c r="J17" s="2"/>
      <c r="K17" s="2"/>
      <c r="L17" s="2"/>
      <c r="M17" s="2"/>
      <c r="N17" s="2"/>
    </row>
    <row r="18" spans="1:14" x14ac:dyDescent="0.2">
      <c r="A18" s="1" t="s">
        <v>19</v>
      </c>
      <c r="B18" s="1">
        <v>2020</v>
      </c>
      <c r="C18" s="1" t="s">
        <v>41</v>
      </c>
      <c r="D18" s="1">
        <v>851</v>
      </c>
      <c r="E18" s="1">
        <v>50</v>
      </c>
      <c r="F18" s="1">
        <v>5.83</v>
      </c>
      <c r="G18" s="2"/>
      <c r="H18" s="2"/>
      <c r="I18" s="2"/>
      <c r="J18" s="2"/>
      <c r="K18" s="2"/>
      <c r="L18" s="2"/>
      <c r="M18" s="2"/>
      <c r="N18" s="2"/>
    </row>
    <row r="19" spans="1:14" x14ac:dyDescent="0.2">
      <c r="A19" s="1" t="s">
        <v>21</v>
      </c>
      <c r="B19" s="1">
        <v>2021</v>
      </c>
      <c r="C19" s="1" t="s">
        <v>41</v>
      </c>
      <c r="D19" s="1">
        <v>1585</v>
      </c>
      <c r="E19" s="1">
        <v>29</v>
      </c>
      <c r="F19" s="1">
        <v>1.81</v>
      </c>
    </row>
    <row r="20" spans="1:14" x14ac:dyDescent="0.2">
      <c r="A20" s="1" t="s">
        <v>28</v>
      </c>
      <c r="B20" s="1">
        <v>2021</v>
      </c>
      <c r="C20" s="1" t="s">
        <v>42</v>
      </c>
      <c r="D20" s="1">
        <v>505</v>
      </c>
      <c r="E20" s="1">
        <v>23</v>
      </c>
      <c r="F20" s="1">
        <v>4.5</v>
      </c>
    </row>
    <row r="21" spans="1:14" x14ac:dyDescent="0.2">
      <c r="A21" s="1" t="s">
        <v>20</v>
      </c>
      <c r="B21" s="1">
        <v>2021</v>
      </c>
      <c r="C21" s="1" t="s">
        <v>42</v>
      </c>
      <c r="D21" s="1">
        <v>1507</v>
      </c>
      <c r="E21" s="1">
        <v>80</v>
      </c>
      <c r="F21" s="1">
        <v>5.31</v>
      </c>
    </row>
    <row r="22" spans="1:14" x14ac:dyDescent="0.2">
      <c r="A22" s="1" t="s">
        <v>26</v>
      </c>
      <c r="B22" s="1">
        <v>2021</v>
      </c>
      <c r="C22" s="1" t="s">
        <v>42</v>
      </c>
      <c r="D22" s="1">
        <v>1042</v>
      </c>
      <c r="E22" s="1">
        <v>48</v>
      </c>
      <c r="F22" s="1">
        <v>4.5599999999999996</v>
      </c>
    </row>
    <row r="23" spans="1:14" x14ac:dyDescent="0.2">
      <c r="A23" s="1" t="s">
        <v>23</v>
      </c>
      <c r="B23" s="1">
        <v>2021</v>
      </c>
      <c r="C23" s="1" t="s">
        <v>42</v>
      </c>
      <c r="D23" s="1">
        <v>3318</v>
      </c>
      <c r="E23" s="1">
        <v>52</v>
      </c>
      <c r="F23" s="1">
        <v>1.57</v>
      </c>
    </row>
    <row r="24" spans="1:14" x14ac:dyDescent="0.2">
      <c r="A24" s="1" t="s">
        <v>13</v>
      </c>
      <c r="B24" s="1">
        <v>2021</v>
      </c>
      <c r="C24" s="1" t="s">
        <v>42</v>
      </c>
      <c r="D24" s="1">
        <v>4411</v>
      </c>
      <c r="E24" s="1">
        <v>138</v>
      </c>
      <c r="F24" s="1">
        <v>3.14</v>
      </c>
    </row>
    <row r="25" spans="1:14" x14ac:dyDescent="0.2">
      <c r="A25" s="1" t="s">
        <v>24</v>
      </c>
      <c r="B25" s="1">
        <v>2021</v>
      </c>
      <c r="C25" s="1" t="s">
        <v>42</v>
      </c>
      <c r="D25" s="1">
        <v>1037</v>
      </c>
      <c r="E25" s="1">
        <v>39</v>
      </c>
      <c r="F25" s="1">
        <v>3.78</v>
      </c>
    </row>
    <row r="26" spans="1:14" x14ac:dyDescent="0.2">
      <c r="A26" s="1" t="s">
        <v>22</v>
      </c>
      <c r="B26" s="1">
        <v>2021</v>
      </c>
      <c r="C26" s="1" t="s">
        <v>41</v>
      </c>
      <c r="D26" s="1">
        <v>1177</v>
      </c>
      <c r="E26" s="1">
        <v>71</v>
      </c>
      <c r="F26" s="1">
        <v>6.06</v>
      </c>
    </row>
    <row r="27" spans="1:14" x14ac:dyDescent="0.2">
      <c r="A27" s="1" t="s">
        <v>27</v>
      </c>
      <c r="B27" s="1">
        <v>2021</v>
      </c>
      <c r="C27" s="1" t="s">
        <v>42</v>
      </c>
      <c r="D27" s="1">
        <v>3359</v>
      </c>
      <c r="E27" s="1">
        <v>22</v>
      </c>
      <c r="F27" s="1">
        <v>0.66</v>
      </c>
    </row>
    <row r="28" spans="1:14" x14ac:dyDescent="0.2">
      <c r="A28" s="1" t="s">
        <v>16</v>
      </c>
      <c r="B28" s="1">
        <v>2021</v>
      </c>
      <c r="C28" s="1" t="s">
        <v>42</v>
      </c>
      <c r="D28" s="1">
        <v>2076</v>
      </c>
      <c r="E28" s="1">
        <v>118</v>
      </c>
      <c r="F28" s="1">
        <v>5.67</v>
      </c>
    </row>
    <row r="29" spans="1:14" x14ac:dyDescent="0.2">
      <c r="A29" s="1" t="s">
        <v>17</v>
      </c>
      <c r="B29" s="1">
        <v>2021</v>
      </c>
      <c r="C29" s="1" t="s">
        <v>43</v>
      </c>
      <c r="D29" s="1">
        <v>2283</v>
      </c>
      <c r="E29" s="1">
        <v>113</v>
      </c>
      <c r="F29" s="1">
        <v>4.9400000000000004</v>
      </c>
    </row>
    <row r="30" spans="1:14" x14ac:dyDescent="0.2">
      <c r="A30" s="1" t="s">
        <v>15</v>
      </c>
      <c r="B30" s="1">
        <v>2021</v>
      </c>
      <c r="C30" s="1" t="s">
        <v>43</v>
      </c>
      <c r="D30" s="1">
        <v>2301</v>
      </c>
      <c r="E30" s="1">
        <v>119</v>
      </c>
      <c r="F30" s="1">
        <v>5.15</v>
      </c>
    </row>
    <row r="31" spans="1:14" x14ac:dyDescent="0.2">
      <c r="A31" s="1" t="s">
        <v>18</v>
      </c>
      <c r="B31" s="1">
        <v>2021</v>
      </c>
      <c r="C31" s="1" t="s">
        <v>43</v>
      </c>
      <c r="D31" s="1">
        <v>1548</v>
      </c>
      <c r="E31" s="1">
        <v>69</v>
      </c>
      <c r="F31" s="1">
        <v>4.45</v>
      </c>
    </row>
    <row r="32" spans="1:14" x14ac:dyDescent="0.2">
      <c r="A32" s="1" t="s">
        <v>12</v>
      </c>
      <c r="B32" s="1">
        <v>2021</v>
      </c>
      <c r="C32" s="1" t="s">
        <v>41</v>
      </c>
      <c r="D32" s="1">
        <v>1500</v>
      </c>
      <c r="E32" s="1">
        <v>188</v>
      </c>
      <c r="F32" s="1">
        <v>12.51</v>
      </c>
    </row>
    <row r="33" spans="1:6" x14ac:dyDescent="0.2">
      <c r="A33" s="1" t="s">
        <v>25</v>
      </c>
      <c r="B33" s="1">
        <v>2021</v>
      </c>
      <c r="C33" s="1" t="s">
        <v>41</v>
      </c>
      <c r="D33" s="1">
        <v>1624</v>
      </c>
      <c r="E33" s="1">
        <v>52</v>
      </c>
      <c r="F33" s="1">
        <v>3.17</v>
      </c>
    </row>
    <row r="34" spans="1:6" x14ac:dyDescent="0.2">
      <c r="A34" s="1" t="s">
        <v>14</v>
      </c>
      <c r="B34" s="1">
        <v>2021</v>
      </c>
      <c r="C34" s="1" t="s">
        <v>41</v>
      </c>
      <c r="D34" s="1">
        <v>1497</v>
      </c>
      <c r="E34" s="1">
        <v>110</v>
      </c>
      <c r="F34" s="1">
        <v>7.38</v>
      </c>
    </row>
    <row r="35" spans="1:6" x14ac:dyDescent="0.2">
      <c r="A35" s="1" t="s">
        <v>19</v>
      </c>
      <c r="B35" s="1">
        <v>2021</v>
      </c>
      <c r="C35" s="1" t="s">
        <v>41</v>
      </c>
      <c r="D35" s="1">
        <v>873</v>
      </c>
      <c r="E35" s="1">
        <v>97</v>
      </c>
      <c r="F35" s="1">
        <v>11.08</v>
      </c>
    </row>
    <row r="36" spans="1:6" x14ac:dyDescent="0.2">
      <c r="A36" s="1" t="s">
        <v>21</v>
      </c>
      <c r="B36" s="1">
        <v>2022</v>
      </c>
      <c r="C36" s="1" t="s">
        <v>41</v>
      </c>
      <c r="D36" s="1">
        <v>1555</v>
      </c>
      <c r="E36" s="1">
        <v>113</v>
      </c>
      <c r="F36" s="1">
        <v>7.27</v>
      </c>
    </row>
    <row r="37" spans="1:6" x14ac:dyDescent="0.2">
      <c r="A37" s="1" t="s">
        <v>28</v>
      </c>
      <c r="B37" s="1">
        <v>2022</v>
      </c>
      <c r="C37" s="1" t="s">
        <v>42</v>
      </c>
      <c r="D37" s="1">
        <v>522</v>
      </c>
      <c r="E37" s="1">
        <v>19</v>
      </c>
      <c r="F37" s="1">
        <v>3.56</v>
      </c>
    </row>
    <row r="38" spans="1:6" x14ac:dyDescent="0.2">
      <c r="A38" s="1" t="s">
        <v>20</v>
      </c>
      <c r="B38" s="1">
        <v>2022</v>
      </c>
      <c r="C38" s="1" t="s">
        <v>42</v>
      </c>
      <c r="D38" s="1">
        <v>1481</v>
      </c>
      <c r="E38" s="1">
        <v>93</v>
      </c>
      <c r="F38" s="1">
        <v>6.3</v>
      </c>
    </row>
    <row r="39" spans="1:6" x14ac:dyDescent="0.2">
      <c r="A39" s="1" t="s">
        <v>26</v>
      </c>
      <c r="B39" s="1">
        <v>2022</v>
      </c>
      <c r="C39" s="1" t="s">
        <v>42</v>
      </c>
      <c r="D39" s="1">
        <v>1060</v>
      </c>
      <c r="E39" s="1">
        <v>25</v>
      </c>
      <c r="F39" s="1">
        <v>2.3199999999999998</v>
      </c>
    </row>
    <row r="40" spans="1:6" x14ac:dyDescent="0.2">
      <c r="A40" s="1" t="s">
        <v>23</v>
      </c>
      <c r="B40" s="1">
        <v>2022</v>
      </c>
      <c r="C40" s="1" t="s">
        <v>42</v>
      </c>
      <c r="D40" s="1">
        <v>3334</v>
      </c>
      <c r="E40" s="1">
        <v>39</v>
      </c>
      <c r="F40" s="1">
        <v>1.1599999999999999</v>
      </c>
    </row>
    <row r="41" spans="1:6" x14ac:dyDescent="0.2">
      <c r="A41" s="1" t="s">
        <v>13</v>
      </c>
      <c r="B41" s="1">
        <v>2022</v>
      </c>
      <c r="C41" s="1" t="s">
        <v>42</v>
      </c>
      <c r="D41" s="1">
        <v>4330</v>
      </c>
      <c r="E41" s="1">
        <v>164</v>
      </c>
      <c r="F41" s="1">
        <v>3.78</v>
      </c>
    </row>
    <row r="42" spans="1:6" x14ac:dyDescent="0.2">
      <c r="A42" s="1" t="s">
        <v>24</v>
      </c>
      <c r="B42" s="1">
        <v>2022</v>
      </c>
      <c r="C42" s="1" t="s">
        <v>42</v>
      </c>
      <c r="D42" s="1">
        <v>1100</v>
      </c>
      <c r="E42" s="1">
        <v>51</v>
      </c>
      <c r="F42" s="1">
        <v>4.6100000000000003</v>
      </c>
    </row>
    <row r="43" spans="1:6" x14ac:dyDescent="0.2">
      <c r="A43" s="1" t="s">
        <v>22</v>
      </c>
      <c r="B43" s="1">
        <v>2022</v>
      </c>
      <c r="C43" s="1" t="s">
        <v>41</v>
      </c>
      <c r="D43" s="1">
        <v>1198</v>
      </c>
      <c r="E43" s="1">
        <v>81</v>
      </c>
      <c r="F43" s="1">
        <v>6.77</v>
      </c>
    </row>
    <row r="44" spans="1:6" x14ac:dyDescent="0.2">
      <c r="A44" s="1" t="s">
        <v>27</v>
      </c>
      <c r="B44" s="1">
        <v>2022</v>
      </c>
      <c r="C44" s="1" t="s">
        <v>42</v>
      </c>
      <c r="D44" s="1">
        <v>3467</v>
      </c>
      <c r="E44" s="1">
        <v>25</v>
      </c>
      <c r="F44" s="1">
        <v>0.73</v>
      </c>
    </row>
    <row r="45" spans="1:6" x14ac:dyDescent="0.2">
      <c r="A45" s="1" t="s">
        <v>16</v>
      </c>
      <c r="B45" s="1">
        <v>2022</v>
      </c>
      <c r="C45" s="1" t="s">
        <v>42</v>
      </c>
      <c r="D45" s="1">
        <v>2038</v>
      </c>
      <c r="E45" s="1">
        <v>85</v>
      </c>
      <c r="F45" s="1">
        <v>4.16</v>
      </c>
    </row>
    <row r="46" spans="1:6" x14ac:dyDescent="0.2">
      <c r="A46" s="1" t="s">
        <v>17</v>
      </c>
      <c r="B46" s="1">
        <v>2022</v>
      </c>
      <c r="C46" s="1" t="s">
        <v>43</v>
      </c>
      <c r="D46" s="1">
        <v>2246</v>
      </c>
      <c r="E46" s="1">
        <v>99</v>
      </c>
      <c r="F46" s="1">
        <v>4.4000000000000004</v>
      </c>
    </row>
    <row r="47" spans="1:6" x14ac:dyDescent="0.2">
      <c r="A47" s="1" t="s">
        <v>15</v>
      </c>
      <c r="B47" s="1">
        <v>2022</v>
      </c>
      <c r="C47" s="1" t="s">
        <v>43</v>
      </c>
      <c r="D47" s="1">
        <v>2318</v>
      </c>
      <c r="E47" s="1">
        <v>155</v>
      </c>
      <c r="F47" s="1">
        <v>6.67</v>
      </c>
    </row>
    <row r="48" spans="1:6" x14ac:dyDescent="0.2">
      <c r="A48" s="1" t="s">
        <v>18</v>
      </c>
      <c r="B48" s="1">
        <v>2022</v>
      </c>
      <c r="C48" s="1" t="s">
        <v>43</v>
      </c>
      <c r="D48" s="1">
        <v>1512</v>
      </c>
      <c r="E48" s="1">
        <v>95</v>
      </c>
      <c r="F48" s="1">
        <v>6.25</v>
      </c>
    </row>
    <row r="49" spans="1:6" x14ac:dyDescent="0.2">
      <c r="A49" s="1" t="s">
        <v>12</v>
      </c>
      <c r="B49" s="1">
        <v>2022</v>
      </c>
      <c r="C49" s="1" t="s">
        <v>41</v>
      </c>
      <c r="D49" s="1">
        <v>1513</v>
      </c>
      <c r="E49" s="1">
        <v>130</v>
      </c>
      <c r="F49" s="1">
        <v>8.6199999999999992</v>
      </c>
    </row>
    <row r="50" spans="1:6" x14ac:dyDescent="0.2">
      <c r="A50" s="1" t="s">
        <v>25</v>
      </c>
      <c r="B50" s="1">
        <v>2022</v>
      </c>
      <c r="C50" s="1" t="s">
        <v>41</v>
      </c>
      <c r="D50" s="1">
        <v>1625</v>
      </c>
      <c r="E50" s="1">
        <v>55</v>
      </c>
      <c r="F50" s="1">
        <v>3.41</v>
      </c>
    </row>
    <row r="51" spans="1:6" x14ac:dyDescent="0.2">
      <c r="A51" s="1" t="s">
        <v>14</v>
      </c>
      <c r="B51" s="1">
        <v>2022</v>
      </c>
      <c r="C51" s="1" t="s">
        <v>41</v>
      </c>
      <c r="D51" s="1">
        <v>1538</v>
      </c>
      <c r="E51" s="1">
        <v>189</v>
      </c>
      <c r="F51" s="1">
        <v>12.27</v>
      </c>
    </row>
    <row r="52" spans="1:6" x14ac:dyDescent="0.2">
      <c r="A52" s="1" t="s">
        <v>19</v>
      </c>
      <c r="B52" s="1">
        <v>2022</v>
      </c>
      <c r="C52" s="1" t="s">
        <v>41</v>
      </c>
      <c r="D52" s="1">
        <v>876</v>
      </c>
      <c r="E52" s="1">
        <v>61</v>
      </c>
      <c r="F52" s="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FD62-D262-DA42-959A-97D70A070217}">
  <dimension ref="A1:N18"/>
  <sheetViews>
    <sheetView zoomScale="50" zoomScaleNormal="119" workbookViewId="0">
      <selection activeCell="M16" sqref="M16"/>
    </sheetView>
  </sheetViews>
  <sheetFormatPr baseColWidth="10" defaultRowHeight="14" x14ac:dyDescent="0.2"/>
  <cols>
    <col min="1" max="10" width="10.83203125" style="9"/>
    <col min="11" max="11" width="20.1640625" style="11" bestFit="1" customWidth="1"/>
    <col min="12" max="12" width="10.83203125" style="11"/>
    <col min="13" max="16384" width="10.83203125" style="9"/>
  </cols>
  <sheetData>
    <row r="1" spans="1:14" ht="16" x14ac:dyDescent="0.2">
      <c r="A1" s="6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8" t="s">
        <v>9</v>
      </c>
      <c r="K1" s="7" t="s">
        <v>10</v>
      </c>
      <c r="L1" s="7" t="s">
        <v>11</v>
      </c>
      <c r="M1" s="7" t="s">
        <v>29</v>
      </c>
      <c r="N1" s="7" t="s">
        <v>30</v>
      </c>
    </row>
    <row r="2" spans="1:14" x14ac:dyDescent="0.2">
      <c r="A2" s="10" t="s">
        <v>12</v>
      </c>
      <c r="B2" s="10">
        <v>1498</v>
      </c>
      <c r="C2" s="10">
        <v>108</v>
      </c>
      <c r="D2" s="10">
        <v>265961</v>
      </c>
      <c r="E2" s="10">
        <v>1500</v>
      </c>
      <c r="F2" s="10">
        <v>188</v>
      </c>
      <c r="G2" s="10">
        <v>260434</v>
      </c>
      <c r="H2" s="10">
        <v>1513</v>
      </c>
      <c r="I2" s="10">
        <v>130</v>
      </c>
      <c r="J2" s="10">
        <v>232405</v>
      </c>
      <c r="K2" s="10">
        <f t="shared" ref="K2:K18" si="0">AVERAGE(C2,F2,I2)</f>
        <v>142</v>
      </c>
      <c r="L2" s="10">
        <f t="shared" ref="L2:L18" si="1">_xlfn.RANK.AVG(K2,$K$2:$K$18,0)</f>
        <v>1</v>
      </c>
      <c r="M2" s="10">
        <f>AVERAGE(D2,G2,J2)</f>
        <v>252933.33333333334</v>
      </c>
      <c r="N2" s="10">
        <f>AVERAGE(B2,E2,H2)</f>
        <v>1503.6666666666667</v>
      </c>
    </row>
    <row r="3" spans="1:14" x14ac:dyDescent="0.2">
      <c r="A3" s="10" t="s">
        <v>13</v>
      </c>
      <c r="B3" s="10">
        <v>4219</v>
      </c>
      <c r="C3" s="10">
        <v>78</v>
      </c>
      <c r="D3" s="10">
        <v>321338</v>
      </c>
      <c r="E3" s="10">
        <v>4411</v>
      </c>
      <c r="F3" s="10">
        <v>138</v>
      </c>
      <c r="G3" s="10">
        <v>310026</v>
      </c>
      <c r="H3" s="10">
        <v>4330</v>
      </c>
      <c r="I3" s="10">
        <v>164</v>
      </c>
      <c r="J3" s="10">
        <v>213013</v>
      </c>
      <c r="K3" s="10">
        <f t="shared" si="0"/>
        <v>126.66666666666667</v>
      </c>
      <c r="L3" s="10">
        <f t="shared" si="1"/>
        <v>2</v>
      </c>
      <c r="M3" s="10">
        <f t="shared" ref="M3:M18" si="2">AVERAGE(D3,G3,J3)</f>
        <v>281459</v>
      </c>
      <c r="N3" s="10">
        <f t="shared" ref="N3:N18" si="3">AVERAGE(B3,E3,H3)</f>
        <v>4320</v>
      </c>
    </row>
    <row r="4" spans="1:14" x14ac:dyDescent="0.2">
      <c r="A4" s="10" t="s">
        <v>14</v>
      </c>
      <c r="B4" s="10">
        <v>1529</v>
      </c>
      <c r="C4" s="10">
        <v>67</v>
      </c>
      <c r="D4" s="10">
        <v>210055</v>
      </c>
      <c r="E4" s="10">
        <v>1497</v>
      </c>
      <c r="F4" s="10">
        <v>110</v>
      </c>
      <c r="G4" s="10">
        <v>197718</v>
      </c>
      <c r="H4" s="10">
        <v>1538</v>
      </c>
      <c r="I4" s="10">
        <v>189</v>
      </c>
      <c r="J4" s="10">
        <v>218298</v>
      </c>
      <c r="K4" s="10">
        <f t="shared" si="0"/>
        <v>122</v>
      </c>
      <c r="L4" s="10">
        <f t="shared" si="1"/>
        <v>3</v>
      </c>
      <c r="M4" s="10">
        <f t="shared" si="2"/>
        <v>208690.33333333334</v>
      </c>
      <c r="N4" s="10">
        <f t="shared" si="3"/>
        <v>1521.3333333333333</v>
      </c>
    </row>
    <row r="5" spans="1:14" x14ac:dyDescent="0.2">
      <c r="A5" s="10" t="s">
        <v>15</v>
      </c>
      <c r="B5" s="10">
        <v>2295</v>
      </c>
      <c r="C5" s="10">
        <v>57</v>
      </c>
      <c r="D5" s="10">
        <v>287182</v>
      </c>
      <c r="E5" s="10">
        <v>2301</v>
      </c>
      <c r="F5" s="10">
        <v>119</v>
      </c>
      <c r="G5" s="10">
        <v>271051</v>
      </c>
      <c r="H5" s="10">
        <v>2318</v>
      </c>
      <c r="I5" s="10">
        <v>155</v>
      </c>
      <c r="J5" s="10">
        <v>264126</v>
      </c>
      <c r="K5" s="10">
        <f t="shared" si="0"/>
        <v>110.33333333333333</v>
      </c>
      <c r="L5" s="10">
        <f t="shared" si="1"/>
        <v>4</v>
      </c>
      <c r="M5" s="10">
        <f t="shared" si="2"/>
        <v>274119.66666666669</v>
      </c>
      <c r="N5" s="10">
        <f t="shared" si="3"/>
        <v>2304.6666666666665</v>
      </c>
    </row>
    <row r="6" spans="1:14" x14ac:dyDescent="0.2">
      <c r="A6" s="10" t="s">
        <v>16</v>
      </c>
      <c r="B6" s="10">
        <v>2013</v>
      </c>
      <c r="C6" s="10">
        <v>97</v>
      </c>
      <c r="D6" s="10">
        <v>373623</v>
      </c>
      <c r="E6" s="10">
        <v>2076</v>
      </c>
      <c r="F6" s="10">
        <v>118</v>
      </c>
      <c r="G6" s="10">
        <v>360791</v>
      </c>
      <c r="H6" s="10">
        <v>2038</v>
      </c>
      <c r="I6" s="10">
        <v>85</v>
      </c>
      <c r="J6" s="10">
        <v>344302</v>
      </c>
      <c r="K6" s="10">
        <f t="shared" si="0"/>
        <v>100</v>
      </c>
      <c r="L6" s="10">
        <f t="shared" si="1"/>
        <v>5</v>
      </c>
      <c r="M6" s="10">
        <f t="shared" si="2"/>
        <v>359572</v>
      </c>
      <c r="N6" s="10">
        <f t="shared" si="3"/>
        <v>2042.3333333333333</v>
      </c>
    </row>
    <row r="7" spans="1:14" x14ac:dyDescent="0.2">
      <c r="A7" s="10" t="s">
        <v>17</v>
      </c>
      <c r="B7" s="10">
        <v>2281</v>
      </c>
      <c r="C7" s="10">
        <v>49</v>
      </c>
      <c r="D7" s="10">
        <v>326178</v>
      </c>
      <c r="E7" s="10">
        <v>2283</v>
      </c>
      <c r="F7" s="10">
        <v>113</v>
      </c>
      <c r="G7" s="10">
        <v>318069</v>
      </c>
      <c r="H7" s="10">
        <v>2246</v>
      </c>
      <c r="I7" s="10">
        <v>99</v>
      </c>
      <c r="J7" s="10">
        <v>309658</v>
      </c>
      <c r="K7" s="10">
        <f t="shared" si="0"/>
        <v>87</v>
      </c>
      <c r="L7" s="10">
        <f t="shared" si="1"/>
        <v>6</v>
      </c>
      <c r="M7" s="10">
        <f t="shared" si="2"/>
        <v>317968.33333333331</v>
      </c>
      <c r="N7" s="10">
        <f t="shared" si="3"/>
        <v>2270</v>
      </c>
    </row>
    <row r="8" spans="1:14" x14ac:dyDescent="0.2">
      <c r="A8" s="10" t="s">
        <v>18</v>
      </c>
      <c r="B8" s="10">
        <v>1560</v>
      </c>
      <c r="C8" s="10">
        <v>53</v>
      </c>
      <c r="D8" s="10">
        <v>282164</v>
      </c>
      <c r="E8" s="10">
        <v>1548</v>
      </c>
      <c r="F8" s="10">
        <v>69</v>
      </c>
      <c r="G8" s="10">
        <v>266463</v>
      </c>
      <c r="H8" s="10">
        <v>1512</v>
      </c>
      <c r="I8" s="10">
        <v>95</v>
      </c>
      <c r="J8" s="10">
        <v>250171</v>
      </c>
      <c r="K8" s="10">
        <f t="shared" si="0"/>
        <v>72.333333333333329</v>
      </c>
      <c r="L8" s="10">
        <f t="shared" si="1"/>
        <v>7</v>
      </c>
      <c r="M8" s="10">
        <f t="shared" si="2"/>
        <v>266266</v>
      </c>
      <c r="N8" s="10">
        <f t="shared" si="3"/>
        <v>1540</v>
      </c>
    </row>
    <row r="9" spans="1:14" x14ac:dyDescent="0.2">
      <c r="A9" s="10" t="s">
        <v>19</v>
      </c>
      <c r="B9" s="10">
        <v>851</v>
      </c>
      <c r="C9" s="10">
        <v>50</v>
      </c>
      <c r="D9" s="10">
        <v>190804</v>
      </c>
      <c r="E9" s="10">
        <v>873</v>
      </c>
      <c r="F9" s="10">
        <v>97</v>
      </c>
      <c r="G9" s="10">
        <v>183308</v>
      </c>
      <c r="H9" s="10">
        <v>876</v>
      </c>
      <c r="I9" s="10">
        <v>61</v>
      </c>
      <c r="J9" s="10">
        <v>179619</v>
      </c>
      <c r="K9" s="10">
        <f t="shared" si="0"/>
        <v>69.333333333333329</v>
      </c>
      <c r="L9" s="10">
        <f t="shared" si="1"/>
        <v>8.5</v>
      </c>
      <c r="M9" s="10">
        <f t="shared" si="2"/>
        <v>184577</v>
      </c>
      <c r="N9" s="10">
        <f t="shared" si="3"/>
        <v>866.66666666666663</v>
      </c>
    </row>
    <row r="10" spans="1:14" x14ac:dyDescent="0.2">
      <c r="A10" s="10" t="s">
        <v>20</v>
      </c>
      <c r="B10" s="10">
        <v>1439</v>
      </c>
      <c r="C10" s="10">
        <v>35</v>
      </c>
      <c r="D10" s="10">
        <v>209622</v>
      </c>
      <c r="E10" s="10">
        <v>1507</v>
      </c>
      <c r="F10" s="10">
        <v>80</v>
      </c>
      <c r="G10" s="10">
        <v>196321</v>
      </c>
      <c r="H10" s="10">
        <v>1481</v>
      </c>
      <c r="I10" s="10">
        <v>93</v>
      </c>
      <c r="J10" s="10">
        <v>175110</v>
      </c>
      <c r="K10" s="10">
        <f t="shared" si="0"/>
        <v>69.333333333333329</v>
      </c>
      <c r="L10" s="10">
        <f t="shared" si="1"/>
        <v>8.5</v>
      </c>
      <c r="M10" s="10">
        <f t="shared" si="2"/>
        <v>193684.33333333334</v>
      </c>
      <c r="N10" s="10">
        <f t="shared" si="3"/>
        <v>1475.6666666666667</v>
      </c>
    </row>
    <row r="11" spans="1:14" x14ac:dyDescent="0.2">
      <c r="A11" s="10" t="s">
        <v>21</v>
      </c>
      <c r="B11" s="10">
        <v>1507</v>
      </c>
      <c r="C11" s="10">
        <v>65</v>
      </c>
      <c r="D11" s="10">
        <v>420772</v>
      </c>
      <c r="E11" s="10">
        <v>1585</v>
      </c>
      <c r="F11" s="10">
        <v>29</v>
      </c>
      <c r="G11" s="10">
        <v>355783</v>
      </c>
      <c r="H11" s="10">
        <v>1555</v>
      </c>
      <c r="I11" s="10">
        <v>113</v>
      </c>
      <c r="J11" s="10">
        <v>339445</v>
      </c>
      <c r="K11" s="10">
        <f t="shared" si="0"/>
        <v>69</v>
      </c>
      <c r="L11" s="10">
        <f t="shared" si="1"/>
        <v>10</v>
      </c>
      <c r="M11" s="10">
        <f t="shared" si="2"/>
        <v>372000</v>
      </c>
      <c r="N11" s="10">
        <f t="shared" si="3"/>
        <v>1549</v>
      </c>
    </row>
    <row r="12" spans="1:14" x14ac:dyDescent="0.2">
      <c r="A12" s="10" t="s">
        <v>22</v>
      </c>
      <c r="B12" s="10">
        <v>1195</v>
      </c>
      <c r="C12" s="10">
        <v>34</v>
      </c>
      <c r="D12" s="10">
        <v>297466</v>
      </c>
      <c r="E12" s="10">
        <v>1177</v>
      </c>
      <c r="F12" s="10">
        <v>71</v>
      </c>
      <c r="G12" s="10">
        <v>276356</v>
      </c>
      <c r="H12" s="10">
        <v>1198</v>
      </c>
      <c r="I12" s="10">
        <v>81</v>
      </c>
      <c r="J12" s="10">
        <v>263420</v>
      </c>
      <c r="K12" s="10">
        <f t="shared" si="0"/>
        <v>62</v>
      </c>
      <c r="L12" s="10">
        <f t="shared" si="1"/>
        <v>11</v>
      </c>
      <c r="M12" s="10">
        <f t="shared" si="2"/>
        <v>279080.66666666669</v>
      </c>
      <c r="N12" s="10">
        <f t="shared" si="3"/>
        <v>1190</v>
      </c>
    </row>
    <row r="13" spans="1:14" x14ac:dyDescent="0.2">
      <c r="A13" s="10" t="s">
        <v>23</v>
      </c>
      <c r="B13" s="10">
        <v>3262</v>
      </c>
      <c r="C13" s="10">
        <v>65</v>
      </c>
      <c r="D13" s="10">
        <v>298966</v>
      </c>
      <c r="E13" s="10">
        <v>3318</v>
      </c>
      <c r="F13" s="10">
        <v>52</v>
      </c>
      <c r="G13" s="10">
        <v>291331</v>
      </c>
      <c r="H13" s="10">
        <v>3334</v>
      </c>
      <c r="I13" s="10">
        <v>39</v>
      </c>
      <c r="J13" s="10">
        <v>240624</v>
      </c>
      <c r="K13" s="10">
        <f t="shared" si="0"/>
        <v>52</v>
      </c>
      <c r="L13" s="10">
        <f t="shared" si="1"/>
        <v>12</v>
      </c>
      <c r="M13" s="10">
        <f t="shared" si="2"/>
        <v>276973.66666666669</v>
      </c>
      <c r="N13" s="10">
        <f t="shared" si="3"/>
        <v>3304.6666666666665</v>
      </c>
    </row>
    <row r="14" spans="1:14" x14ac:dyDescent="0.2">
      <c r="A14" s="10" t="s">
        <v>24</v>
      </c>
      <c r="B14" s="10">
        <v>1035</v>
      </c>
      <c r="C14" s="10">
        <v>48</v>
      </c>
      <c r="D14" s="10">
        <v>195401</v>
      </c>
      <c r="E14" s="10">
        <v>1037</v>
      </c>
      <c r="F14" s="10">
        <v>39</v>
      </c>
      <c r="G14" s="10">
        <v>187711</v>
      </c>
      <c r="H14" s="10">
        <v>1100</v>
      </c>
      <c r="I14" s="10">
        <v>51</v>
      </c>
      <c r="J14" s="10">
        <v>182793</v>
      </c>
      <c r="K14" s="10">
        <f t="shared" si="0"/>
        <v>46</v>
      </c>
      <c r="L14" s="10">
        <f t="shared" si="1"/>
        <v>13</v>
      </c>
      <c r="M14" s="10">
        <f t="shared" si="2"/>
        <v>188635</v>
      </c>
      <c r="N14" s="10">
        <f t="shared" si="3"/>
        <v>1057.3333333333333</v>
      </c>
    </row>
    <row r="15" spans="1:14" x14ac:dyDescent="0.2">
      <c r="A15" s="10" t="s">
        <v>25</v>
      </c>
      <c r="B15" s="10">
        <v>1579</v>
      </c>
      <c r="C15" s="10">
        <v>19</v>
      </c>
      <c r="D15" s="10">
        <v>258060</v>
      </c>
      <c r="E15" s="10">
        <v>1624</v>
      </c>
      <c r="F15" s="10">
        <v>52</v>
      </c>
      <c r="G15" s="10">
        <v>249781</v>
      </c>
      <c r="H15" s="10">
        <v>1625</v>
      </c>
      <c r="I15" s="10">
        <v>55</v>
      </c>
      <c r="J15" s="10">
        <v>254118</v>
      </c>
      <c r="K15" s="10">
        <f t="shared" si="0"/>
        <v>42</v>
      </c>
      <c r="L15" s="10">
        <f t="shared" si="1"/>
        <v>14</v>
      </c>
      <c r="M15" s="10">
        <f t="shared" si="2"/>
        <v>253986.33333333334</v>
      </c>
      <c r="N15" s="10">
        <f t="shared" si="3"/>
        <v>1609.3333333333333</v>
      </c>
    </row>
    <row r="16" spans="1:14" x14ac:dyDescent="0.2">
      <c r="A16" s="10" t="s">
        <v>26</v>
      </c>
      <c r="B16" s="10">
        <v>1038</v>
      </c>
      <c r="C16" s="10">
        <v>23</v>
      </c>
      <c r="D16" s="10">
        <v>106872</v>
      </c>
      <c r="E16" s="10">
        <v>1042</v>
      </c>
      <c r="F16" s="10">
        <v>48</v>
      </c>
      <c r="G16" s="10">
        <v>102708</v>
      </c>
      <c r="H16" s="10">
        <v>1060</v>
      </c>
      <c r="I16" s="10">
        <v>25</v>
      </c>
      <c r="J16" s="10">
        <v>89568</v>
      </c>
      <c r="K16" s="10">
        <f t="shared" si="0"/>
        <v>32</v>
      </c>
      <c r="L16" s="10">
        <f t="shared" si="1"/>
        <v>15</v>
      </c>
      <c r="M16" s="10">
        <f t="shared" si="2"/>
        <v>99716</v>
      </c>
      <c r="N16" s="10">
        <f t="shared" si="3"/>
        <v>1046.6666666666667</v>
      </c>
    </row>
    <row r="17" spans="1:14" x14ac:dyDescent="0.2">
      <c r="A17" s="10" t="s">
        <v>27</v>
      </c>
      <c r="B17" s="10">
        <v>3348</v>
      </c>
      <c r="C17" s="10">
        <v>14</v>
      </c>
      <c r="D17" s="10">
        <v>220394</v>
      </c>
      <c r="E17" s="10">
        <v>3359</v>
      </c>
      <c r="F17" s="10">
        <v>22</v>
      </c>
      <c r="G17" s="10">
        <v>208603</v>
      </c>
      <c r="H17" s="10">
        <v>3467</v>
      </c>
      <c r="I17" s="10">
        <v>25</v>
      </c>
      <c r="J17" s="10">
        <v>191373</v>
      </c>
      <c r="K17" s="10">
        <f t="shared" si="0"/>
        <v>20.333333333333332</v>
      </c>
      <c r="L17" s="10">
        <f t="shared" si="1"/>
        <v>16</v>
      </c>
      <c r="M17" s="10">
        <f t="shared" si="2"/>
        <v>206790</v>
      </c>
      <c r="N17" s="10">
        <f t="shared" si="3"/>
        <v>3391.3333333333335</v>
      </c>
    </row>
    <row r="18" spans="1:14" x14ac:dyDescent="0.2">
      <c r="A18" s="10" t="s">
        <v>28</v>
      </c>
      <c r="B18" s="10">
        <v>522</v>
      </c>
      <c r="C18" s="10">
        <v>10</v>
      </c>
      <c r="D18" s="10">
        <v>59822</v>
      </c>
      <c r="E18" s="10">
        <v>505</v>
      </c>
      <c r="F18" s="10">
        <v>23</v>
      </c>
      <c r="G18" s="10">
        <v>55136</v>
      </c>
      <c r="H18" s="10">
        <v>522</v>
      </c>
      <c r="I18" s="10">
        <v>19</v>
      </c>
      <c r="J18" s="10">
        <v>50108</v>
      </c>
      <c r="K18" s="10">
        <f t="shared" si="0"/>
        <v>17.333333333333332</v>
      </c>
      <c r="L18" s="10">
        <f t="shared" si="1"/>
        <v>17</v>
      </c>
      <c r="M18" s="10">
        <f t="shared" si="2"/>
        <v>55022</v>
      </c>
      <c r="N18" s="10">
        <f t="shared" si="3"/>
        <v>516.33333333333337</v>
      </c>
    </row>
  </sheetData>
  <autoFilter ref="A1:L1" xr:uid="{5BDB3D66-CF94-0746-A533-07043EF9E7E9}">
    <sortState xmlns:xlrd2="http://schemas.microsoft.com/office/spreadsheetml/2017/richdata2" ref="A2:L18">
      <sortCondition ref="L1:L18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EAD4-F2B1-FA4B-B439-DD6364D13D06}">
  <dimension ref="A1:G29"/>
  <sheetViews>
    <sheetView tabSelected="1" zoomScale="75" zoomScaleNormal="100" workbookViewId="0">
      <selection activeCell="C14" sqref="C14"/>
    </sheetView>
  </sheetViews>
  <sheetFormatPr baseColWidth="10" defaultRowHeight="14" x14ac:dyDescent="0.2"/>
  <cols>
    <col min="1" max="1" width="10.83203125" style="12"/>
    <col min="2" max="2" width="28.33203125" style="12" bestFit="1" customWidth="1"/>
    <col min="3" max="3" width="24.1640625" style="12" bestFit="1" customWidth="1"/>
    <col min="4" max="5" width="11.5" style="12" bestFit="1" customWidth="1"/>
    <col min="6" max="6" width="11.5" style="12" customWidth="1"/>
    <col min="7" max="16384" width="10.83203125" style="12"/>
  </cols>
  <sheetData>
    <row r="1" spans="1:7" ht="16" x14ac:dyDescent="0.2">
      <c r="A1" s="17" t="s">
        <v>31</v>
      </c>
      <c r="B1" s="17" t="s">
        <v>32</v>
      </c>
      <c r="C1" s="17" t="s">
        <v>33</v>
      </c>
      <c r="D1" s="18" t="s">
        <v>34</v>
      </c>
      <c r="E1" s="18" t="s">
        <v>35</v>
      </c>
      <c r="F1" s="18" t="s">
        <v>44</v>
      </c>
      <c r="G1" s="26" t="s">
        <v>45</v>
      </c>
    </row>
    <row r="2" spans="1:7" x14ac:dyDescent="0.2">
      <c r="A2" s="20" t="s">
        <v>12</v>
      </c>
      <c r="B2" s="19">
        <v>252933.33333333334</v>
      </c>
      <c r="C2" s="21">
        <v>142</v>
      </c>
      <c r="D2" s="22">
        <v>-1053</v>
      </c>
      <c r="E2" s="22">
        <v>-72.6666666666667</v>
      </c>
      <c r="F2" s="23">
        <f>E2/73</f>
        <v>-0.9954337899543384</v>
      </c>
      <c r="G2" s="19">
        <f>E2/MAX($E$2:$E$18)</f>
        <v>-1.3797468354430384</v>
      </c>
    </row>
    <row r="3" spans="1:7" x14ac:dyDescent="0.2">
      <c r="A3" s="20" t="s">
        <v>13</v>
      </c>
      <c r="B3" s="19">
        <v>281459</v>
      </c>
      <c r="C3" s="21">
        <v>126.66666666666667</v>
      </c>
      <c r="D3" s="24">
        <v>27472.666666666657</v>
      </c>
      <c r="E3" s="24">
        <v>-57.3333333333333</v>
      </c>
      <c r="F3" s="23">
        <f t="shared" ref="F3:F18" si="0">E3/73</f>
        <v>-0.78538812785388079</v>
      </c>
      <c r="G3" s="19">
        <f t="shared" ref="G3:G18" si="1">E3/MAX($E$2:$E$18)</f>
        <v>-1.0886075949367082</v>
      </c>
    </row>
    <row r="4" spans="1:7" x14ac:dyDescent="0.2">
      <c r="A4" s="20" t="s">
        <v>16</v>
      </c>
      <c r="B4" s="19">
        <v>359572</v>
      </c>
      <c r="C4" s="21">
        <v>100</v>
      </c>
      <c r="D4" s="24">
        <v>105585.66666666666</v>
      </c>
      <c r="E4" s="24">
        <v>-30.6666666666667</v>
      </c>
      <c r="F4" s="23">
        <f t="shared" si="0"/>
        <v>-0.42009132420091372</v>
      </c>
      <c r="G4" s="19">
        <f t="shared" si="1"/>
        <v>-0.58227848101265878</v>
      </c>
    </row>
    <row r="5" spans="1:7" x14ac:dyDescent="0.2">
      <c r="A5" s="19" t="s">
        <v>14</v>
      </c>
      <c r="B5" s="19">
        <v>208690.33333333334</v>
      </c>
      <c r="C5" s="21">
        <v>122</v>
      </c>
      <c r="D5" s="24">
        <v>-45296</v>
      </c>
      <c r="E5" s="24">
        <v>52.666666666666671</v>
      </c>
      <c r="F5" s="23">
        <f t="shared" si="0"/>
        <v>0.72146118721461194</v>
      </c>
      <c r="G5" s="19">
        <f t="shared" si="1"/>
        <v>1</v>
      </c>
    </row>
    <row r="6" spans="1:7" x14ac:dyDescent="0.2">
      <c r="A6" s="20" t="s">
        <v>15</v>
      </c>
      <c r="B6" s="19">
        <v>274119.66666666669</v>
      </c>
      <c r="C6" s="21">
        <v>110.33333333333333</v>
      </c>
      <c r="D6" s="24">
        <v>20133.333333333343</v>
      </c>
      <c r="E6" s="24">
        <v>-41</v>
      </c>
      <c r="F6" s="23">
        <f t="shared" si="0"/>
        <v>-0.56164383561643838</v>
      </c>
      <c r="G6" s="19">
        <f t="shared" si="1"/>
        <v>-0.77848101265822778</v>
      </c>
    </row>
    <row r="7" spans="1:7" x14ac:dyDescent="0.2">
      <c r="A7" s="20" t="s">
        <v>17</v>
      </c>
      <c r="B7" s="19">
        <v>317968.33333333331</v>
      </c>
      <c r="C7" s="21">
        <v>87</v>
      </c>
      <c r="D7" s="24">
        <v>63981.999999999971</v>
      </c>
      <c r="E7" s="24">
        <v>-17.6666666666667</v>
      </c>
      <c r="F7" s="23">
        <f t="shared" si="0"/>
        <v>-0.24200913242009178</v>
      </c>
      <c r="G7" s="19">
        <f t="shared" si="1"/>
        <v>-0.33544303797468417</v>
      </c>
    </row>
    <row r="8" spans="1:7" x14ac:dyDescent="0.2">
      <c r="A8" s="19" t="s">
        <v>19</v>
      </c>
      <c r="B8" s="19">
        <v>184577</v>
      </c>
      <c r="C8" s="21">
        <v>69.333333333333329</v>
      </c>
      <c r="D8" s="24">
        <v>-69409.333333333343</v>
      </c>
      <c r="E8" s="24">
        <v>0</v>
      </c>
      <c r="F8" s="23">
        <f t="shared" si="0"/>
        <v>0</v>
      </c>
      <c r="G8" s="19">
        <f t="shared" si="1"/>
        <v>0</v>
      </c>
    </row>
    <row r="9" spans="1:7" x14ac:dyDescent="0.2">
      <c r="A9" s="20" t="s">
        <v>18</v>
      </c>
      <c r="B9" s="19">
        <v>266266</v>
      </c>
      <c r="C9" s="21">
        <v>72.333333333333329</v>
      </c>
      <c r="D9" s="24">
        <v>12279.666666666657</v>
      </c>
      <c r="E9" s="24">
        <v>-3</v>
      </c>
      <c r="F9" s="23">
        <f t="shared" si="0"/>
        <v>-4.1095890410958902E-2</v>
      </c>
      <c r="G9" s="19">
        <f t="shared" si="1"/>
        <v>-5.6962025316455694E-2</v>
      </c>
    </row>
    <row r="10" spans="1:7" x14ac:dyDescent="0.2">
      <c r="A10" s="19" t="s">
        <v>20</v>
      </c>
      <c r="B10" s="19">
        <v>193684.33333333334</v>
      </c>
      <c r="C10" s="21">
        <v>69.333333333333329</v>
      </c>
      <c r="D10" s="24">
        <v>-60302</v>
      </c>
      <c r="E10" s="24">
        <v>0</v>
      </c>
      <c r="F10" s="23">
        <f t="shared" si="0"/>
        <v>0</v>
      </c>
      <c r="G10" s="19">
        <f t="shared" si="1"/>
        <v>0</v>
      </c>
    </row>
    <row r="11" spans="1:7" x14ac:dyDescent="0.2">
      <c r="A11" s="25" t="s">
        <v>22</v>
      </c>
      <c r="B11" s="19">
        <v>279080.66666666669</v>
      </c>
      <c r="C11" s="21">
        <v>62</v>
      </c>
      <c r="D11" s="24">
        <v>25094.333333333343</v>
      </c>
      <c r="E11" s="24">
        <v>7.3333333333333304</v>
      </c>
      <c r="F11" s="23">
        <f t="shared" si="0"/>
        <v>0.10045662100456616</v>
      </c>
      <c r="G11" s="19">
        <f t="shared" si="1"/>
        <v>0.13924050632911386</v>
      </c>
    </row>
    <row r="12" spans="1:7" x14ac:dyDescent="0.2">
      <c r="A12" s="25" t="s">
        <v>21</v>
      </c>
      <c r="B12" s="19">
        <v>372000</v>
      </c>
      <c r="C12" s="21">
        <v>69</v>
      </c>
      <c r="D12" s="24">
        <v>118013.66666666666</v>
      </c>
      <c r="E12" s="24">
        <v>-0.3333333333333286</v>
      </c>
      <c r="F12" s="23">
        <f t="shared" si="0"/>
        <v>-4.5662100456620352E-3</v>
      </c>
      <c r="G12" s="19">
        <f t="shared" si="1"/>
        <v>-6.3291139240505426E-3</v>
      </c>
    </row>
    <row r="13" spans="1:7" x14ac:dyDescent="0.2">
      <c r="A13" s="25" t="s">
        <v>23</v>
      </c>
      <c r="B13" s="19">
        <v>276973.66666666669</v>
      </c>
      <c r="C13" s="21">
        <v>52</v>
      </c>
      <c r="D13" s="24">
        <v>22987.333333333343</v>
      </c>
      <c r="E13" s="24">
        <v>17.3333333333333</v>
      </c>
      <c r="F13" s="23">
        <f t="shared" si="0"/>
        <v>0.23744292237442877</v>
      </c>
      <c r="G13" s="19">
        <f t="shared" si="1"/>
        <v>0.32911392405063228</v>
      </c>
    </row>
    <row r="14" spans="1:7" x14ac:dyDescent="0.2">
      <c r="A14" s="19" t="s">
        <v>24</v>
      </c>
      <c r="B14" s="19">
        <v>188635</v>
      </c>
      <c r="C14" s="21">
        <v>46</v>
      </c>
      <c r="D14" s="24">
        <v>-65351.333333333343</v>
      </c>
      <c r="E14" s="24">
        <v>-23.333333333333329</v>
      </c>
      <c r="F14" s="23">
        <f t="shared" si="0"/>
        <v>-0.31963470319634696</v>
      </c>
      <c r="G14" s="19">
        <f t="shared" si="1"/>
        <v>-0.44303797468354417</v>
      </c>
    </row>
    <row r="15" spans="1:7" x14ac:dyDescent="0.2">
      <c r="A15" s="19" t="s">
        <v>25</v>
      </c>
      <c r="B15" s="19">
        <v>253986.33333333334</v>
      </c>
      <c r="C15" s="21">
        <v>42</v>
      </c>
      <c r="D15" s="24">
        <v>0</v>
      </c>
      <c r="E15" s="24">
        <v>-27.333333333333329</v>
      </c>
      <c r="F15" s="23">
        <f t="shared" si="0"/>
        <v>-0.37442922374429216</v>
      </c>
      <c r="G15" s="19">
        <f t="shared" si="1"/>
        <v>-0.51898734177215178</v>
      </c>
    </row>
    <row r="16" spans="1:7" x14ac:dyDescent="0.2">
      <c r="A16" s="19" t="s">
        <v>26</v>
      </c>
      <c r="B16" s="19">
        <v>99716</v>
      </c>
      <c r="C16" s="21">
        <v>32</v>
      </c>
      <c r="D16" s="24">
        <v>-154270.33333333334</v>
      </c>
      <c r="E16" s="24">
        <v>-37.333333333333329</v>
      </c>
      <c r="F16" s="23">
        <f t="shared" si="0"/>
        <v>-0.51141552511415522</v>
      </c>
      <c r="G16" s="19">
        <f t="shared" si="1"/>
        <v>-0.70886075949367078</v>
      </c>
    </row>
    <row r="17" spans="1:7" x14ac:dyDescent="0.2">
      <c r="A17" s="19" t="s">
        <v>27</v>
      </c>
      <c r="B17" s="19">
        <v>206790</v>
      </c>
      <c r="C17" s="21">
        <v>20.333333333333332</v>
      </c>
      <c r="D17" s="24">
        <v>-47196.333333333343</v>
      </c>
      <c r="E17" s="24">
        <v>-49</v>
      </c>
      <c r="F17" s="23">
        <f t="shared" si="0"/>
        <v>-0.67123287671232879</v>
      </c>
      <c r="G17" s="19">
        <f t="shared" si="1"/>
        <v>-0.930379746835443</v>
      </c>
    </row>
    <row r="18" spans="1:7" x14ac:dyDescent="0.2">
      <c r="A18" s="19" t="s">
        <v>28</v>
      </c>
      <c r="B18" s="19">
        <v>55022</v>
      </c>
      <c r="C18" s="21">
        <v>17.333333333333332</v>
      </c>
      <c r="D18" s="24">
        <v>-198964.33333333334</v>
      </c>
      <c r="E18" s="24">
        <v>-52</v>
      </c>
      <c r="F18" s="23">
        <f t="shared" si="0"/>
        <v>-0.71232876712328763</v>
      </c>
      <c r="G18" s="19">
        <f t="shared" si="1"/>
        <v>-0.98734177215189867</v>
      </c>
    </row>
    <row r="20" spans="1:7" x14ac:dyDescent="0.2">
      <c r="C20" s="13"/>
    </row>
    <row r="22" spans="1:7" x14ac:dyDescent="0.2">
      <c r="D22" s="14"/>
      <c r="E22" s="14"/>
      <c r="F22" s="14"/>
    </row>
    <row r="23" spans="1:7" x14ac:dyDescent="0.2">
      <c r="D23" s="14"/>
      <c r="E23" s="14"/>
      <c r="F23" s="14"/>
    </row>
    <row r="29" spans="1:7" x14ac:dyDescent="0.2">
      <c r="D29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CHARTS</vt:lpstr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 Jamila Briana Pardo</dc:creator>
  <cp:lastModifiedBy>Lian Jamila Briana Pardo</cp:lastModifiedBy>
  <dcterms:created xsi:type="dcterms:W3CDTF">2025-11-20T02:23:01Z</dcterms:created>
  <dcterms:modified xsi:type="dcterms:W3CDTF">2025-11-20T02:26:55Z</dcterms:modified>
</cp:coreProperties>
</file>