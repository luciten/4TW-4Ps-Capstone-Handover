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car G. Lara\Dropbox\PC\Desktop\FTW Data Analytics\Capstone\Final\"/>
    </mc:Choice>
  </mc:AlternateContent>
  <xr:revisionPtr revIDLastSave="0" documentId="8_{48B17ED9-FAD7-4671-964E-1091C7F4E59D}" xr6:coauthVersionLast="47" xr6:coauthVersionMax="47" xr10:uidLastSave="{00000000-0000-0000-0000-000000000000}"/>
  <bookViews>
    <workbookView xWindow="-103" yWindow="-103" windowWidth="19543" windowHeight="12377" firstSheet="5" activeTab="7" xr2:uid="{7EF27112-B577-4A1D-B71D-5C808190C885}"/>
  </bookViews>
  <sheets>
    <sheet name="Raw Data Immunization 2022 " sheetId="4" r:id="rId1"/>
    <sheet name="Analysis-Immunization 2022" sheetId="1" r:id="rId2"/>
    <sheet name="Chart Immunization 2022" sheetId="2" r:id="rId3"/>
    <sheet name="Matrix-Immunization 2022" sheetId="3" r:id="rId4"/>
    <sheet name="Raw Data-Prenatal 2022" sheetId="6" r:id="rId5"/>
    <sheet name="Analysis-Prenatal 2022" sheetId="5" r:id="rId6"/>
    <sheet name="Chart-Prenatal 2022" sheetId="8" r:id="rId7"/>
    <sheet name="Matrix-Prenatal2022" sheetId="9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O18" i="1" s="1"/>
  <c r="N17" i="1"/>
  <c r="O17" i="1" s="1"/>
  <c r="O16" i="1"/>
  <c r="N16" i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  <c r="O21" i="1" s="1"/>
</calcChain>
</file>

<file path=xl/sharedStrings.xml><?xml version="1.0" encoding="utf-8"?>
<sst xmlns="http://schemas.openxmlformats.org/spreadsheetml/2006/main" count="334" uniqueCount="77">
  <si>
    <t>Region</t>
  </si>
  <si>
    <t>Immunization Rate</t>
  </si>
  <si>
    <t>I</t>
  </si>
  <si>
    <t>II</t>
  </si>
  <si>
    <t>III</t>
  </si>
  <si>
    <t>IV-A</t>
  </si>
  <si>
    <t>IV-B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</si>
  <si>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</si>
  <si>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</si>
  <si>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</si>
  <si>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</si>
  <si>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</si>
  <si>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</si>
  <si>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</si>
  <si>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</si>
  <si>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</si>
  <si>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NCR</t>
  </si>
  <si>
    <t>CAR</t>
  </si>
  <si>
    <t>BARMM</t>
  </si>
  <si>
    <t>Island</t>
  </si>
  <si>
    <t>Year</t>
  </si>
  <si>
    <t>Children_under5_count</t>
  </si>
  <si>
    <t>HealthCard_count</t>
  </si>
  <si>
    <t>HepB_count</t>
  </si>
  <si>
    <t>Pentavalent1_count</t>
  </si>
  <si>
    <t>Pentavalent2_count</t>
  </si>
  <si>
    <t>Pentavalent3_count</t>
  </si>
  <si>
    <t>Pneu1_count</t>
  </si>
  <si>
    <t>Pneu2_count</t>
  </si>
  <si>
    <t>Pneu3_count</t>
  </si>
  <si>
    <t>Measles2_count</t>
  </si>
  <si>
    <t>Average Immunization</t>
  </si>
  <si>
    <t>Category</t>
  </si>
  <si>
    <t>Luzon</t>
  </si>
  <si>
    <t>HIGH</t>
  </si>
  <si>
    <t>Visayas</t>
  </si>
  <si>
    <t>LOW</t>
  </si>
  <si>
    <t>Mindanao</t>
  </si>
  <si>
    <t>Number of 4Ps Children</t>
  </si>
  <si>
    <t>Education Performance</t>
  </si>
  <si>
    <t>Adjusted X</t>
  </si>
  <si>
    <t>Adjusted Y</t>
  </si>
  <si>
    <t>region</t>
  </si>
  <si>
    <t>island_group</t>
  </si>
  <si>
    <t>survey_year</t>
  </si>
  <si>
    <t>total_respondents</t>
  </si>
  <si>
    <t>total_pregnant</t>
  </si>
  <si>
    <t>total_pregnancy_history</t>
  </si>
  <si>
    <t>total_with_anc_visits</t>
  </si>
  <si>
    <t>total_postpartum_checked</t>
  </si>
  <si>
    <t>total_baby_postnatal_checked</t>
  </si>
  <si>
    <t>PreNatal Ave</t>
  </si>
  <si>
    <t>Natal Visits Rate</t>
  </si>
  <si>
    <t>Median</t>
  </si>
  <si>
    <t>4Ps Members</t>
  </si>
  <si>
    <t>Note(s):</t>
  </si>
  <si>
    <t>Insight(s):</t>
  </si>
  <si>
    <t>Average is calculated to account the prenatal rate.</t>
  </si>
  <si>
    <t>Adjusted X and Adjusted Y is calculated by subtracting the median from each region’s value to shift the axes, and so that the center becomes (0,0).</t>
  </si>
  <si>
    <t>Median is calculated to reduce the influence of extreme values and gives a fair midpoint value for all regions.</t>
  </si>
  <si>
    <t>Y-axis: Prenatal Rate 2022</t>
  </si>
  <si>
    <t>X-axis: 4Ps Beneficiaries (median value) for the year 2022 to match the same year of the available prenatal rate data.</t>
  </si>
  <si>
    <t>Quadrant 1 - upper right (high 4Ps beneficiaries and high prenatal rate)</t>
  </si>
  <si>
    <t>Quadrant 2 - upper left (low 4Ps beneficiaries and high prenatal rate)</t>
  </si>
  <si>
    <t>Quadrant 3 - lower left (low 4Ps beneficiaries and low prenatal rate)</t>
  </si>
  <si>
    <t>Quadrant 4 - lower right (high 4Ps beneficiaries and low prenatal rate)</t>
  </si>
  <si>
    <t>Regions in Q4 have high 4Ps beneficiaries, but it is not translating into prenatal visits. BARMM is the most critical region to look into.</t>
  </si>
  <si>
    <t>Y-axis: Immunization Rate 2022</t>
  </si>
  <si>
    <t>X-axis: 4Ps Beneficiaries (median value) for the year 2022 to match the same year of the available immunization rate data.</t>
  </si>
  <si>
    <t>Quadrant 1 - upper right (high 4Ps beneficiaries and high immunization rate)</t>
  </si>
  <si>
    <t>Quadrant 2 - upper left (low 4Ps beneficiaries and high immunization rate)</t>
  </si>
  <si>
    <t>Quadrant 3 - lower left (low 4Ps beneficiaries and low immunization rate)</t>
  </si>
  <si>
    <t>Quadrant 4 - lower right (high 4Ps beneficiaries and low immunization rate)</t>
  </si>
  <si>
    <t>Regions in Q4 have high 4Ps beneficiaries, but it is not translating into immunization. BARMM is the most critical region to look into.</t>
  </si>
  <si>
    <t>Most regions fall below 35%, with BARMM being the lowest at 18.13%.</t>
  </si>
  <si>
    <t>Average is calculated to account the immunization rate.</t>
  </si>
  <si>
    <t>Most regions fall below 35%, with BARMM being the lowest at 8.34%.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</si>
</sst>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4" fillId="0" borderId="0" applyFont="0" applyFill="0" applyBorder="0" applyAlignment="0" applyProtection="0"/>
    <xf numFmtId="0" fontId="10" fillId="0" borderId="0"/>
    <xf numFmtId="9" fontId="3" fillId="0" borderId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0" fontId="1" fillId="0" borderId="0" xfId="1" applyNumberFormat="1"/>
    <xf numFmtId="0" fontId="0" fillId="0" borderId="0" xfId="0" applyAlignment="1">
      <alignment horizontal="center"/>
    </xf>
    <xf numFmtId="0" fontId="5" fillId="2" borderId="1" xfId="2" applyFont="1" applyFill="1" applyBorder="1"/>
    <xf numFmtId="0" fontId="6" fillId="3" borderId="0" xfId="2" applyFont="1" applyFill="1" applyAlignment="1">
      <alignment horizontal="center"/>
    </xf>
    <xf numFmtId="0" fontId="0" fillId="3" borderId="0" xfId="0" applyFill="1"/>
    <xf numFmtId="2" fontId="0" fillId="0" borderId="0" xfId="0" applyNumberFormat="1"/>
    <xf numFmtId="0" fontId="4" fillId="0" borderId="0" xfId="2" applyAlignment="1">
      <alignment horizontal="left"/>
    </xf>
    <xf numFmtId="0" fontId="4" fillId="0" borderId="0" xfId="2"/>
    <xf numFmtId="0" fontId="6" fillId="0" borderId="0" xfId="2" applyFont="1" applyAlignment="1">
      <alignment horizontal="center"/>
    </xf>
    <xf numFmtId="10" fontId="0" fillId="4" borderId="0" xfId="0" applyNumberFormat="1" applyFill="1"/>
    <xf numFmtId="0" fontId="7" fillId="0" borderId="0" xfId="3"/>
    <xf numFmtId="0" fontId="9" fillId="0" borderId="0" xfId="3" applyFont="1"/>
    <xf numFmtId="0" fontId="8" fillId="0" borderId="0" xfId="3" applyFont="1" applyAlignment="1">
      <alignment horizontal="center"/>
    </xf>
    <xf numFmtId="1" fontId="9" fillId="0" borderId="0" xfId="3" applyNumberFormat="1" applyFont="1" applyAlignment="1">
      <alignment horizontal="center"/>
    </xf>
    <xf numFmtId="0" fontId="8" fillId="4" borderId="0" xfId="3" applyFont="1" applyFill="1" applyAlignment="1">
      <alignment horizontal="center"/>
    </xf>
    <xf numFmtId="1" fontId="7" fillId="0" borderId="0" xfId="3" applyNumberFormat="1" applyAlignment="1">
      <alignment horizontal="center"/>
    </xf>
    <xf numFmtId="168" fontId="7" fillId="0" borderId="0" xfId="3" applyNumberFormat="1"/>
    <xf numFmtId="10" fontId="9" fillId="0" borderId="0" xfId="4" applyNumberFormat="1" applyFont="1" applyAlignment="1">
      <alignment horizontal="center"/>
    </xf>
    <xf numFmtId="10" fontId="7" fillId="0" borderId="0" xfId="3" applyNumberFormat="1"/>
    <xf numFmtId="0" fontId="10" fillId="0" borderId="0" xfId="5"/>
    <xf numFmtId="2" fontId="10" fillId="0" borderId="0" xfId="5" applyNumberFormat="1"/>
    <xf numFmtId="10" fontId="3" fillId="0" borderId="0" xfId="6" applyNumberFormat="1"/>
    <xf numFmtId="0" fontId="10" fillId="0" borderId="0" xfId="5" applyAlignment="1">
      <alignment horizontal="center"/>
    </xf>
    <xf numFmtId="0" fontId="10" fillId="4" borderId="0" xfId="5" applyFill="1"/>
    <xf numFmtId="10" fontId="10" fillId="4" borderId="0" xfId="5" applyNumberFormat="1" applyFill="1"/>
    <xf numFmtId="0" fontId="0" fillId="4" borderId="0" xfId="0" applyFill="1" applyAlignment="1">
      <alignment horizontal="right"/>
    </xf>
    <xf numFmtId="0" fontId="11" fillId="0" borderId="0" xfId="0" applyFont="1" applyAlignment="1">
      <alignment wrapText="1"/>
    </xf>
    <xf numFmtId="0" fontId="10" fillId="0" borderId="0" xfId="5"/>
    <xf numFmtId="10" fontId="3" fillId="0" borderId="0" xfId="6" applyNumberFormat="1"/>
    <xf numFmtId="0" fontId="7" fillId="0" borderId="0" xfId="3"/>
    <xf numFmtId="0" fontId="9" fillId="0" borderId="0" xfId="3" applyFont="1"/>
    <xf numFmtId="0" fontId="8" fillId="0" borderId="0" xfId="3" applyFont="1" applyAlignment="1">
      <alignment horizontal="center"/>
    </xf>
    <xf numFmtId="1" fontId="9" fillId="0" borderId="0" xfId="3" applyNumberFormat="1" applyFont="1" applyAlignment="1">
      <alignment horizontal="center"/>
    </xf>
    <xf numFmtId="0" fontId="8" fillId="4" borderId="0" xfId="3" applyFont="1" applyFill="1" applyAlignment="1">
      <alignment horizontal="center"/>
    </xf>
    <xf numFmtId="1" fontId="7" fillId="0" borderId="0" xfId="3" applyNumberFormat="1" applyAlignment="1">
      <alignment horizontal="center"/>
    </xf>
    <xf numFmtId="168" fontId="7" fillId="0" borderId="0" xfId="3" applyNumberFormat="1"/>
    <xf numFmtId="10" fontId="9" fillId="0" borderId="0" xfId="4" applyNumberFormat="1" applyFont="1" applyAlignment="1">
      <alignment horizontal="center"/>
    </xf>
    <xf numFmtId="10" fontId="7" fillId="0" borderId="0" xfId="3" applyNumberFormat="1"/>
    <xf numFmtId="0" fontId="12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2" fillId="0" borderId="0" xfId="5" applyFont="1"/>
    <xf numFmtId="10" fontId="2" fillId="0" borderId="0" xfId="6" applyNumberFormat="1" applyFont="1"/>
  </cellXfs>
  <cellStyles count="7">
    <cellStyle name="Normal" xfId="0" builtinId="0"/>
    <cellStyle name="Normal 2" xfId="2" xr:uid="{9DD840EB-33F9-4A18-A9BF-E9ED61E41168}"/>
    <cellStyle name="Normal 3" xfId="3" xr:uid="{0280C91A-C385-4AE1-A7CC-77032877A62B}"/>
    <cellStyle name="Normal 4" xfId="5" xr:uid="{642A2F16-D9A2-4B0F-A51C-52069C52083D}"/>
    <cellStyle name="Percent" xfId="1" builtinId="5"/>
    <cellStyle name="Percent 2" xfId="4" xr:uid="{E42BEC4E-3154-4EB4-90B0-BE9C2394E575}"/>
    <cellStyle name="Percent 3" xfId="6" xr:uid="{9747BD86-85F3-48A6-AE3A-CB271B7C1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Immunization Rate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[1]Chart!$B$3</c:f>
              <c:strCache>
                <c:ptCount val="1"/>
                <c:pt idx="0">
                  <c:v>Immunization Rate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A-4627-9E70-4C366BFC0E44}"/>
              </c:ext>
            </c:extLst>
          </c:dPt>
          <c:dLbls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BA-4627-9E70-4C366BFC0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[1]Chart!$A$4:$A$20</c:f>
              <c:strCache>
                <c:ptCount val="1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IV-A</c:v>
                </c:pt>
                <c:pt idx="4">
                  <c:v>IV-B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  <c:pt idx="13">
                  <c:v>XIII</c:v>
                </c:pt>
                <c:pt idx="14">
                  <c:v>NCR</c:v>
                </c:pt>
                <c:pt idx="15">
                  <c:v>CAR</c:v>
                </c:pt>
                <c:pt idx="16">
                  <c:v>BARMM</c:v>
                </c:pt>
              </c:strCache>
            </c:strRef>
          </c:cat>
          <c:val>
            <c:numRef>
              <c:f>[1]Chart!$B$4:$B$20</c:f>
              <c:numCache>
                <c:formatCode>0.00%</c:formatCode>
                <c:ptCount val="17"/>
                <c:pt idx="0">
                  <c:v>0.28088578088578087</c:v>
                </c:pt>
                <c:pt idx="1">
                  <c:v>0.34253640776699029</c:v>
                </c:pt>
                <c:pt idx="2">
                  <c:v>0.30394304490690033</c:v>
                </c:pt>
                <c:pt idx="3">
                  <c:v>0.2730040595399188</c:v>
                </c:pt>
                <c:pt idx="4">
                  <c:v>0.27442307692307694</c:v>
                </c:pt>
                <c:pt idx="5">
                  <c:v>0.27195210449927432</c:v>
                </c:pt>
                <c:pt idx="6">
                  <c:v>0.33005014326647564</c:v>
                </c:pt>
                <c:pt idx="7">
                  <c:v>0.26125776397515527</c:v>
                </c:pt>
                <c:pt idx="8">
                  <c:v>0.31303945745992601</c:v>
                </c:pt>
                <c:pt idx="9">
                  <c:v>0.21144366197183098</c:v>
                </c:pt>
                <c:pt idx="10">
                  <c:v>0.22937024972855591</c:v>
                </c:pt>
                <c:pt idx="11">
                  <c:v>0.26901709401709401</c:v>
                </c:pt>
                <c:pt idx="12">
                  <c:v>0.21347736625514405</c:v>
                </c:pt>
                <c:pt idx="13">
                  <c:v>0.24732262382864792</c:v>
                </c:pt>
                <c:pt idx="14">
                  <c:v>0.27118389423076922</c:v>
                </c:pt>
                <c:pt idx="15">
                  <c:v>0.30461329715061058</c:v>
                </c:pt>
                <c:pt idx="16">
                  <c:v>8.3425720620842567E-2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A-4627-9E70-4C366BFC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9040128"/>
        <c:axId val="1399040608"/>
      </c:barChart>
      <c:catAx>
        <c:axId val="139904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0608"/>
        <c:crosses val="autoZero"/>
        <c:auto val="1"/>
        <c:lblAlgn val="ctr"/>
        <c:lblOffset val="100"/>
        <c:noMultiLvlLbl val="0"/>
      </c:catAx>
      <c:valAx>
        <c:axId val="13990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66853652214432E-2"/>
          <c:y val="2.7191605443381804E-2"/>
          <c:w val="0.91182568534683706"/>
          <c:h val="0.945616789113236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276311614513269E-2"/>
                  <c:y val="-1.53148276088278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CDB693-B3A6-4143-9F14-46ED3BA956EB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04790988863290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D58-4AA1-9F91-CE1F152136AB}"/>
                </c:ext>
              </c:extLst>
            </c:dLbl>
            <c:dLbl>
              <c:idx val="1"/>
              <c:layout>
                <c:manualLayout>
                  <c:x val="-2.6848352832297653E-2"/>
                  <c:y val="-3.054770348998130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E367FD5-9317-4445-AB41-AFCE1973F2F5}" type="CELLRANGE">
                      <a:rPr lang="en-US" sz="1200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679653091884258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D58-4AA1-9F91-CE1F152136AB}"/>
                </c:ext>
              </c:extLst>
            </c:dLbl>
            <c:dLbl>
              <c:idx val="2"/>
              <c:layout>
                <c:manualLayout>
                  <c:x val="-2.9600910351245568E-2"/>
                  <c:y val="-5.182560278352172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5B42AF-4E7F-4EDC-8A50-3C68E6361E3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9187604720850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D58-4AA1-9F91-CE1F152136AB}"/>
                </c:ext>
              </c:extLst>
            </c:dLbl>
            <c:dLbl>
              <c:idx val="3"/>
              <c:layout>
                <c:manualLayout>
                  <c:x val="-2.4862941590209936E-2"/>
                  <c:y val="-3.26886113498189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F2BC50-D346-4D48-879B-BB5A2244AD27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3305216954571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D58-4AA1-9F91-CE1F152136AB}"/>
                </c:ext>
              </c:extLst>
            </c:dLbl>
            <c:dLbl>
              <c:idx val="4"/>
              <c:layout>
                <c:manualLayout>
                  <c:x val="-3.703394483727801E-2"/>
                  <c:y val="-2.309342022693066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333606-F758-46E7-8CA8-DB7CF2CDA178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62273828037754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D58-4AA1-9F91-CE1F152136AB}"/>
                </c:ext>
              </c:extLst>
            </c:dLbl>
            <c:dLbl>
              <c:idx val="5"/>
              <c:layout>
                <c:manualLayout>
                  <c:x val="-2.8703452163904471E-2"/>
                  <c:y val="-2.356880271215929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 sz="1200" b="1">
                        <a:ln>
                          <a:noFill/>
                        </a:ln>
                        <a:solidFill>
                          <a:schemeClr val="tx1">
                            <a:alpha val="99318"/>
                          </a:schemeClr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tx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51069895071129E-2"/>
                      <c:h val="6.178236399574510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D58-4AA1-9F91-CE1F152136AB}"/>
                </c:ext>
              </c:extLst>
            </c:dLbl>
            <c:dLbl>
              <c:idx val="6"/>
              <c:layout>
                <c:manualLayout>
                  <c:x val="-1.6030837255510681E-2"/>
                  <c:y val="-1.1765785902293447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FF44D9-8DD2-4495-952E-91137F9E9234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4495415829083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D58-4AA1-9F91-CE1F152136AB}"/>
                </c:ext>
              </c:extLst>
            </c:dLbl>
            <c:dLbl>
              <c:idx val="7"/>
              <c:layout>
                <c:manualLayout>
                  <c:x val="5.5095077355665429E-3"/>
                  <c:y val="1.470792085268620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33D0A0-4E12-471C-9020-6ED042F65C64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D58-4AA1-9F91-CE1F152136AB}"/>
                </c:ext>
              </c:extLst>
            </c:dLbl>
            <c:dLbl>
              <c:idx val="8"/>
              <c:layout>
                <c:manualLayout>
                  <c:x val="-2.5727357535942307E-2"/>
                  <c:y val="-2.257103843746168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E102D58-EE3C-4805-A7D4-5165721E75B7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172201750001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D58-4AA1-9F91-CE1F152136AB}"/>
                </c:ext>
              </c:extLst>
            </c:dLbl>
            <c:dLbl>
              <c:idx val="9"/>
              <c:layout>
                <c:manualLayout>
                  <c:x val="-2.3778437161862866E-2"/>
                  <c:y val="-1.550778846761892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7511A10-3242-4A67-9C45-3E920137EC19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D58-4AA1-9F91-CE1F152136AB}"/>
                </c:ext>
              </c:extLst>
            </c:dLbl>
            <c:dLbl>
              <c:idx val="10"/>
              <c:layout>
                <c:manualLayout>
                  <c:x val="-1.0798117092789904E-2"/>
                  <c:y val="-5.267132706518491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C298A9-E3D2-462E-9EB1-17138C0EE21F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204158381207688E-2"/>
                      <c:h val="6.178235081091518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D58-4AA1-9F91-CE1F152136AB}"/>
                </c:ext>
              </c:extLst>
            </c:dLbl>
            <c:dLbl>
              <c:idx val="11"/>
              <c:layout>
                <c:manualLayout>
                  <c:x val="-1.3116817890363982E-2"/>
                  <c:y val="2.509683010323351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7FD3FE-6246-4CDA-A42C-ECB94AA64B66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3653018003240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D58-4AA1-9F91-CE1F152136AB}"/>
                </c:ext>
              </c:extLst>
            </c:dLbl>
            <c:dLbl>
              <c:idx val="12"/>
              <c:layout>
                <c:manualLayout>
                  <c:x val="-3.7191020675771291E-2"/>
                  <c:y val="1.308634520528914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B03F12-49C0-43B9-AD8B-11C66FF74A66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D58-4AA1-9F91-CE1F152136AB}"/>
                </c:ext>
              </c:extLst>
            </c:dLbl>
            <c:dLbl>
              <c:idx val="13"/>
              <c:layout>
                <c:manualLayout>
                  <c:x val="-3.5170644705665832E-2"/>
                  <c:y val="2.662159387186462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3DAFB3-21CF-4043-A677-8532AAD30758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D58-4AA1-9F91-CE1F152136AB}"/>
                </c:ext>
              </c:extLst>
            </c:dLbl>
            <c:dLbl>
              <c:idx val="14"/>
              <c:layout>
                <c:manualLayout>
                  <c:x val="-1.4634498529184197E-2"/>
                  <c:y val="2.900499550861635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4A9B09-9108-417F-88A0-458C97AFD92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522777251395852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D58-4AA1-9F91-CE1F152136AB}"/>
                </c:ext>
              </c:extLst>
            </c:dLbl>
            <c:dLbl>
              <c:idx val="15"/>
              <c:layout>
                <c:manualLayout>
                  <c:x val="-1.9360119291425022E-2"/>
                  <c:y val="-8.3080849803613983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68806FB-D343-44BE-8E1E-3FD5F4F40833}" type="CELLRANGE">
                      <a:rPr lang="en-US" sz="1200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5872423613256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D58-4AA1-9F91-CE1F152136AB}"/>
                </c:ext>
              </c:extLst>
            </c:dLbl>
            <c:dLbl>
              <c:idx val="16"/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82040329744239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D58-4AA1-9F91-CE1F152136AB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'[Immunization &amp; Prenatal Matrix (Final).xlsx]Immunization Matrix Chart'!$D$2:$D$18</c:f>
              <c:numCache>
                <c:formatCode>0</c:formatCode>
                <c:ptCount val="17"/>
                <c:pt idx="0">
                  <c:v>-57295</c:v>
                </c:pt>
                <c:pt idx="1">
                  <c:v>-142837</c:v>
                </c:pt>
                <c:pt idx="2">
                  <c:v>8219</c:v>
                </c:pt>
                <c:pt idx="3">
                  <c:v>-19392</c:v>
                </c:pt>
                <c:pt idx="4">
                  <c:v>-49612</c:v>
                </c:pt>
                <c:pt idx="5">
                  <c:v>111897</c:v>
                </c:pt>
                <c:pt idx="6">
                  <c:v>77253</c:v>
                </c:pt>
                <c:pt idx="7">
                  <c:v>31721</c:v>
                </c:pt>
                <c:pt idx="8">
                  <c:v>17766</c:v>
                </c:pt>
                <c:pt idx="9">
                  <c:v>31015</c:v>
                </c:pt>
                <c:pt idx="10">
                  <c:v>0</c:v>
                </c:pt>
                <c:pt idx="11">
                  <c:v>21713</c:v>
                </c:pt>
                <c:pt idx="12">
                  <c:v>-14107</c:v>
                </c:pt>
                <c:pt idx="13">
                  <c:v>-52786</c:v>
                </c:pt>
                <c:pt idx="14">
                  <c:v>-41032</c:v>
                </c:pt>
                <c:pt idx="15">
                  <c:v>-182297</c:v>
                </c:pt>
                <c:pt idx="16">
                  <c:v>107040</c:v>
                </c:pt>
              </c:numCache>
            </c:numRef>
          </c:xVal>
          <c:yVal>
            <c:numRef>
              <c:f>'[Immunization &amp; Prenatal Matrix (Final).xlsx]Immunization Matrix Chart'!$E$2:$E$18</c:f>
              <c:numCache>
                <c:formatCode>0.00%</c:formatCode>
                <c:ptCount val="17"/>
                <c:pt idx="0">
                  <c:v>5.1736910336799224E-2</c:v>
                </c:pt>
                <c:pt idx="1">
                  <c:v>7.0584303267715975E-2</c:v>
                </c:pt>
                <c:pt idx="2">
                  <c:v>3.1990940407626012E-2</c:v>
                </c:pt>
                <c:pt idx="3">
                  <c:v>1.0519550406444811E-3</c:v>
                </c:pt>
                <c:pt idx="4">
                  <c:v>2.4709724238026198E-3</c:v>
                </c:pt>
                <c:pt idx="5">
                  <c:v>0</c:v>
                </c:pt>
                <c:pt idx="6">
                  <c:v>5.8098038767201321E-2</c:v>
                </c:pt>
                <c:pt idx="7">
                  <c:v>-1.069434052411905E-2</c:v>
                </c:pt>
                <c:pt idx="8">
                  <c:v>4.1087352960651691E-2</c:v>
                </c:pt>
                <c:pt idx="9">
                  <c:v>-6.0508442527443335E-2</c:v>
                </c:pt>
                <c:pt idx="10">
                  <c:v>-4.2581854770718408E-2</c:v>
                </c:pt>
                <c:pt idx="11">
                  <c:v>-2.9350104821803114E-3</c:v>
                </c:pt>
                <c:pt idx="12">
                  <c:v>-5.847473824413027E-2</c:v>
                </c:pt>
                <c:pt idx="13">
                  <c:v>-2.4629480670626397E-2</c:v>
                </c:pt>
                <c:pt idx="14">
                  <c:v>-7.6821026850509844E-4</c:v>
                </c:pt>
                <c:pt idx="15">
                  <c:v>3.2661192651336268E-2</c:v>
                </c:pt>
                <c:pt idx="16">
                  <c:v>-0.18852638387843174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'[Immunization &amp; Prenatal Matrix (Final).xlsx]Immunization Matrix Chart'!$E$1</c15:sqref>
                        </c15:formulaRef>
                      </c:ext>
                    </c:extLst>
                    <c:strCache>
                      <c:ptCount val="1"/>
                      <c:pt idx="0">
                        <c:v>Adjusted 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'[Immunization &amp; Prenatal Matrix (Final).xlsx]Immunization Matrix Chart'!$A$2:$A$18</c15:f>
                <c15:dlblRangeCache>
                  <c:ptCount val="17"/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IV-A</c:v>
                  </c:pt>
                  <c:pt idx="4">
                    <c:v>IV-B</c:v>
                  </c:pt>
                  <c:pt idx="5">
                    <c:v>V</c:v>
                  </c:pt>
                  <c:pt idx="6">
                    <c:v>VI</c:v>
                  </c:pt>
                  <c:pt idx="7">
                    <c:v>VII</c:v>
                  </c:pt>
                  <c:pt idx="8">
                    <c:v>VIII</c:v>
                  </c:pt>
                  <c:pt idx="9">
                    <c:v>IX</c:v>
                  </c:pt>
                  <c:pt idx="10">
                    <c:v>X</c:v>
                  </c:pt>
                  <c:pt idx="11">
                    <c:v>XI</c:v>
                  </c:pt>
                  <c:pt idx="12">
                    <c:v>XII</c:v>
                  </c:pt>
                  <c:pt idx="13">
                    <c:v>XIII</c:v>
                  </c:pt>
                  <c:pt idx="14">
                    <c:v>NCR</c:v>
                  </c:pt>
                  <c:pt idx="15">
                    <c:v>CAR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1D58-4AA1-9F91-CE1F1521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PH"/>
              <a:t>Prenatal Visit Rate 2022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[3]Chart!$B$3</c:f>
              <c:strCache>
                <c:ptCount val="1"/>
                <c:pt idx="0">
                  <c:v>Natal Visits Rate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443D-4FD2-8E62-2B5A0C925762}"/>
              </c:ext>
            </c:extLst>
          </c:dPt>
          <c:dLbls>
            <c:dLbl>
              <c:idx val="1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FF0000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D-4FD2-8E62-2B5A0C9257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[3]Chart!$A$4:$A$20</c:f>
              <c:strCache>
                <c:ptCount val="17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IV-A</c:v>
                </c:pt>
                <c:pt idx="4">
                  <c:v>IV-B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  <c:pt idx="13">
                  <c:v>XIII</c:v>
                </c:pt>
                <c:pt idx="14">
                  <c:v>NCR</c:v>
                </c:pt>
                <c:pt idx="15">
                  <c:v>CAR</c:v>
                </c:pt>
                <c:pt idx="16">
                  <c:v>BARMM</c:v>
                </c:pt>
              </c:strCache>
            </c:strRef>
          </c:cat>
          <c:val>
            <c:numRef>
              <c:f>[3]Chart!$B$4:$B$20</c:f>
              <c:numCache>
                <c:formatCode>0.00%</c:formatCode>
                <c:ptCount val="17"/>
                <c:pt idx="0">
                  <c:v>0.37596899224806202</c:v>
                </c:pt>
                <c:pt idx="1">
                  <c:v>0.35028248587570621</c:v>
                </c:pt>
                <c:pt idx="2">
                  <c:v>0.32763157894736844</c:v>
                </c:pt>
                <c:pt idx="3">
                  <c:v>0.34920634920634919</c:v>
                </c:pt>
                <c:pt idx="4">
                  <c:v>0.28163992869875221</c:v>
                </c:pt>
                <c:pt idx="5">
                  <c:v>0.27327327327327328</c:v>
                </c:pt>
                <c:pt idx="6">
                  <c:v>0.37181663837011886</c:v>
                </c:pt>
                <c:pt idx="7">
                  <c:v>0.30407124681933845</c:v>
                </c:pt>
                <c:pt idx="8">
                  <c:v>0.34413580246913578</c:v>
                </c:pt>
                <c:pt idx="9">
                  <c:v>0.22958870472682627</c:v>
                </c:pt>
                <c:pt idx="10">
                  <c:v>0.2725129655822725</c:v>
                </c:pt>
                <c:pt idx="11">
                  <c:v>0.3097643097643098</c:v>
                </c:pt>
                <c:pt idx="12">
                  <c:v>0.24749163879598662</c:v>
                </c:pt>
                <c:pt idx="13">
                  <c:v>0.32423208191126279</c:v>
                </c:pt>
                <c:pt idx="14">
                  <c:v>0.32941176470588235</c:v>
                </c:pt>
                <c:pt idx="15">
                  <c:v>0.35722411831626849</c:v>
                </c:pt>
                <c:pt idx="16">
                  <c:v>0.18125618199802176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D-4FD2-8E62-2B5A0C925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6329440"/>
        <c:axId val="1"/>
      </c:barChart>
      <c:catAx>
        <c:axId val="1163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16329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976066588232631E-2"/>
          <c:y val="2.5329926596351068E-2"/>
          <c:w val="0.90055466971346032"/>
          <c:h val="0.9493401468072978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276311614513269E-2"/>
                  <c:y val="-1.53148276088278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65D3B2-AF0C-4BA8-BC99-8BF70F9080E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04790988863290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68B-4B53-AA03-E885643BEC6F}"/>
                </c:ext>
              </c:extLst>
            </c:dLbl>
            <c:dLbl>
              <c:idx val="1"/>
              <c:layout>
                <c:manualLayout>
                  <c:x val="-2.6848352832297653E-2"/>
                  <c:y val="-3.054770348998130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FDF1815-39AB-4A0B-A83C-34DF697B20B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679653091884258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68B-4B53-AA03-E885643BEC6F}"/>
                </c:ext>
              </c:extLst>
            </c:dLbl>
            <c:dLbl>
              <c:idx val="2"/>
              <c:layout>
                <c:manualLayout>
                  <c:x val="-2.8047451679484536E-2"/>
                  <c:y val="-2.019391039563580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7CE09A-8C7D-4BFC-AA41-A442DB08A3F7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9187604720850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68B-4B53-AA03-E885643BEC6F}"/>
                </c:ext>
              </c:extLst>
            </c:dLbl>
            <c:dLbl>
              <c:idx val="3"/>
              <c:layout>
                <c:manualLayout>
                  <c:x val="-2.6410876852805323E-2"/>
                  <c:y val="9.8358818153646815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CEACD2F-653E-4979-8BAD-CFAD3D10217F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3305216954571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68B-4B53-AA03-E885643BEC6F}"/>
                </c:ext>
              </c:extLst>
            </c:dLbl>
            <c:dLbl>
              <c:idx val="4"/>
              <c:layout>
                <c:manualLayout>
                  <c:x val="-2.7746484351778448E-2"/>
                  <c:y val="-1.306233709385388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63002A-DC23-421F-AFDD-5CB791561BFA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62273828037754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68B-4B53-AA03-E885643BEC6F}"/>
                </c:ext>
              </c:extLst>
            </c:dLbl>
            <c:dLbl>
              <c:idx val="5"/>
              <c:layout>
                <c:manualLayout>
                  <c:x val="-2.1745303389819864E-2"/>
                  <c:y val="-3.553758980794053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 sz="1200" b="1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68B-4B53-AA03-E885643BEC6F}"/>
                </c:ext>
              </c:extLst>
            </c:dLbl>
            <c:dLbl>
              <c:idx val="6"/>
              <c:layout>
                <c:manualLayout>
                  <c:x val="-1.6030837255510681E-2"/>
                  <c:y val="-1.1765785902293447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994850-DD72-4EFB-992B-342BD58056CE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044954158290835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68B-4B53-AA03-E885643BEC6F}"/>
                </c:ext>
              </c:extLst>
            </c:dLbl>
            <c:dLbl>
              <c:idx val="7"/>
              <c:layout>
                <c:manualLayout>
                  <c:x val="-1.4613275637633682E-2"/>
                  <c:y val="1.470797112541190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E740940-E143-48B6-9124-277CF53AA39D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68B-4B53-AA03-E885643BEC6F}"/>
                </c:ext>
              </c:extLst>
            </c:dLbl>
            <c:dLbl>
              <c:idx val="8"/>
              <c:layout>
                <c:manualLayout>
                  <c:x val="-2.572741619702075E-2"/>
                  <c:y val="-2.257110149622977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0609B0-3ABD-4CC3-82ED-A7B627E7F135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1722017500017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68B-4B53-AA03-E885643BEC6F}"/>
                </c:ext>
              </c:extLst>
            </c:dLbl>
            <c:dLbl>
              <c:idx val="9"/>
              <c:layout>
                <c:manualLayout>
                  <c:x val="-4.2419899892161862E-2"/>
                  <c:y val="5.9548766572727896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4AE6B0-7C71-4C35-8E72-4FB1C46A6CBE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68B-4B53-AA03-E885643BEC6F}"/>
                </c:ext>
              </c:extLst>
            </c:dLbl>
            <c:dLbl>
              <c:idx val="10"/>
              <c:layout>
                <c:manualLayout>
                  <c:x val="-1.1528192339222532E-2"/>
                  <c:y val="-2.006911131034320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FC9CE6-CC0D-43B3-B417-958A039CFF4D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68B-4B53-AA03-E885643BEC6F}"/>
                </c:ext>
              </c:extLst>
            </c:dLbl>
            <c:dLbl>
              <c:idx val="11"/>
              <c:layout>
                <c:manualLayout>
                  <c:x val="-3.6418759126569694E-2"/>
                  <c:y val="1.258737167216388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2BA909-6DCC-4221-BA18-6DF0E9069A20}" type="CELLRANGE">
                      <a:rPr lang="en-US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36530180032404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68B-4B53-AA03-E885643BEC6F}"/>
                </c:ext>
              </c:extLst>
            </c:dLbl>
            <c:dLbl>
              <c:idx val="12"/>
              <c:layout>
                <c:manualLayout>
                  <c:x val="-3.7191020675771291E-2"/>
                  <c:y val="1.308634520528914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998073-C789-41E1-A241-BDBEBE00F18C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296520766317493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68B-4B53-AA03-E885643BEC6F}"/>
                </c:ext>
              </c:extLst>
            </c:dLbl>
            <c:dLbl>
              <c:idx val="13"/>
              <c:layout>
                <c:manualLayout>
                  <c:x val="-3.7584220089131828E-2"/>
                  <c:y val="-2.331940350962213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9FEBE6-2880-4A1A-8506-3D74F84BEAF0}" type="CELLRANGE">
                      <a:rPr lang="en-US" b="1"/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68B-4B53-AA03-E885643BEC6F}"/>
                </c:ext>
              </c:extLst>
            </c:dLbl>
            <c:dLbl>
              <c:idx val="14"/>
              <c:layout>
                <c:manualLayout>
                  <c:x val="-1.3004895474248972E-2"/>
                  <c:y val="-1.606322812189294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44CCE8-90B7-481C-80BA-1B4504B9853A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30894256435172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68B-4B53-AA03-E885643BEC6F}"/>
                </c:ext>
              </c:extLst>
            </c:dLbl>
            <c:dLbl>
              <c:idx val="15"/>
              <c:layout>
                <c:manualLayout>
                  <c:x val="-1.9360119291425022E-2"/>
                  <c:y val="-8.3080849803613983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3D9AD63-63FE-4FFF-A70C-FCA611EA69AC}" type="CELLRANGE">
                      <a:rPr lang="en-US" b="1">
                        <a:solidFill>
                          <a:schemeClr val="tx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58724236132567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68B-4B53-AA03-E885643BEC6F}"/>
                </c:ext>
              </c:extLst>
            </c:dLbl>
            <c:dLbl>
              <c:idx val="16"/>
              <c:layout>
                <c:manualLayout>
                  <c:x val="-2.6431059583580115E-2"/>
                  <c:y val="-5.4076320304387629E-5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 sz="12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82040329744239E-2"/>
                      <c:h val="6.17823436972718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68B-4B53-AA03-E885643BEC6F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'[Immunization &amp; Prenatal Matrix (Final).xlsx]Prenatal Matrix Chart'!$D$2:$D$18</c:f>
              <c:numCache>
                <c:formatCode>0</c:formatCode>
                <c:ptCount val="17"/>
                <c:pt idx="0">
                  <c:v>-57295</c:v>
                </c:pt>
                <c:pt idx="1">
                  <c:v>-142837</c:v>
                </c:pt>
                <c:pt idx="2">
                  <c:v>8219</c:v>
                </c:pt>
                <c:pt idx="3">
                  <c:v>-19392</c:v>
                </c:pt>
                <c:pt idx="4">
                  <c:v>-49612</c:v>
                </c:pt>
                <c:pt idx="5">
                  <c:v>111897</c:v>
                </c:pt>
                <c:pt idx="6">
                  <c:v>77253</c:v>
                </c:pt>
                <c:pt idx="7">
                  <c:v>31721</c:v>
                </c:pt>
                <c:pt idx="8">
                  <c:v>17766</c:v>
                </c:pt>
                <c:pt idx="9">
                  <c:v>31015</c:v>
                </c:pt>
                <c:pt idx="10">
                  <c:v>0</c:v>
                </c:pt>
                <c:pt idx="11">
                  <c:v>21713</c:v>
                </c:pt>
                <c:pt idx="12">
                  <c:v>-14107</c:v>
                </c:pt>
                <c:pt idx="13">
                  <c:v>-52786</c:v>
                </c:pt>
                <c:pt idx="14">
                  <c:v>-41032</c:v>
                </c:pt>
                <c:pt idx="15">
                  <c:v>-182297</c:v>
                </c:pt>
                <c:pt idx="16">
                  <c:v>107040</c:v>
                </c:pt>
              </c:numCache>
            </c:numRef>
          </c:xVal>
          <c:yVal>
            <c:numRef>
              <c:f>'[Immunization &amp; Prenatal Matrix (Final).xlsx]Prenatal Matrix Chart'!$E$2:$E$18</c:f>
              <c:numCache>
                <c:formatCode>0.00%</c:formatCode>
                <c:ptCount val="17"/>
                <c:pt idx="0">
                  <c:v>5.1736910336799224E-2</c:v>
                </c:pt>
                <c:pt idx="1">
                  <c:v>2.6050403964443414E-2</c:v>
                </c:pt>
                <c:pt idx="2">
                  <c:v>3.3994970361056476E-3</c:v>
                </c:pt>
                <c:pt idx="3">
                  <c:v>2.4974267295086394E-2</c:v>
                </c:pt>
                <c:pt idx="4">
                  <c:v>-4.2592153212510586E-2</c:v>
                </c:pt>
                <c:pt idx="5">
                  <c:v>-5.0958808637989517E-2</c:v>
                </c:pt>
                <c:pt idx="6">
                  <c:v>4.7584556458856064E-2</c:v>
                </c:pt>
                <c:pt idx="7">
                  <c:v>-2.0160835091924345E-2</c:v>
                </c:pt>
                <c:pt idx="8">
                  <c:v>1.9903720557872984E-2</c:v>
                </c:pt>
                <c:pt idx="9">
                  <c:v>-9.4643377184436522E-2</c:v>
                </c:pt>
                <c:pt idx="10">
                  <c:v>-5.1719116328990289E-2</c:v>
                </c:pt>
                <c:pt idx="11">
                  <c:v>-1.4467772146952995E-2</c:v>
                </c:pt>
                <c:pt idx="12">
                  <c:v>-7.6740443115276169E-2</c:v>
                </c:pt>
                <c:pt idx="13">
                  <c:v>0</c:v>
                </c:pt>
                <c:pt idx="14">
                  <c:v>5.1796827946195556E-3</c:v>
                </c:pt>
                <c:pt idx="15">
                  <c:v>3.2992036405005698E-2</c:v>
                </c:pt>
                <c:pt idx="16">
                  <c:v>-0.14297589991324103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'[Immunization &amp; Prenatal Matrix (Final).xlsx]Prenatal Matrix Chart'!$E$1</c15:sqref>
                        </c15:formulaRef>
                      </c:ext>
                    </c:extLst>
                    <c:strCache>
                      <c:ptCount val="1"/>
                      <c:pt idx="0">
                        <c:v>Adjusted 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'[Immunization &amp; Prenatal Matrix (Final).xlsx]Prenatal Matrix Chart'!$A$2:$A$18</c15:f>
                <c15:dlblRangeCache>
                  <c:ptCount val="17"/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IV-A</c:v>
                  </c:pt>
                  <c:pt idx="4">
                    <c:v>IV-B</c:v>
                  </c:pt>
                  <c:pt idx="5">
                    <c:v>V</c:v>
                  </c:pt>
                  <c:pt idx="6">
                    <c:v>VI</c:v>
                  </c:pt>
                  <c:pt idx="7">
                    <c:v>VII</c:v>
                  </c:pt>
                  <c:pt idx="8">
                    <c:v>VIII</c:v>
                  </c:pt>
                  <c:pt idx="9">
                    <c:v>IX</c:v>
                  </c:pt>
                  <c:pt idx="10">
                    <c:v>X</c:v>
                  </c:pt>
                  <c:pt idx="11">
                    <c:v>XI</c:v>
                  </c:pt>
                  <c:pt idx="12">
                    <c:v>XII</c:v>
                  </c:pt>
                  <c:pt idx="13">
                    <c:v>XIII</c:v>
                  </c:pt>
                  <c:pt idx="14">
                    <c:v>NCR</c:v>
                  </c:pt>
                  <c:pt idx="15">
                    <c:v>CAR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D68B-4B53-AA03-E885643B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378278</xdr:colOff>
      <xdr:row>7</xdr:row>
      <xdr:rowOff>24492</xdr:rowOff>
    </xdr:from>
    <xdr:to>
      <xdr:col>11</xdr:col>
      <xdr:colOff>378278</xdr:colOff>
      <xdr:row>24</xdr:row>
      <xdr:rowOff>84363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EE60C-F551-46A7-A7CC-DECB15B46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358437</xdr:colOff>
      <xdr:row>30</xdr:row>
      <xdr:rowOff>128948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9B452-C871-4F5D-AE49-85E5BF5FC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54430</xdr:colOff>
      <xdr:row>2</xdr:row>
      <xdr:rowOff>168730</xdr:rowOff>
    </xdr:from>
    <xdr:to>
      <xdr:col>11</xdr:col>
      <xdr:colOff>54430</xdr:colOff>
      <xdr:row>17</xdr:row>
      <xdr:rowOff>136074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ABAA902-9067-4AC9-8A8E-238046F91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358437</xdr:colOff>
      <xdr:row>31</xdr:row>
      <xdr:rowOff>140088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8363A-C067-4E0A-887A-0F34D3D39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car%20G.%20Lara\Dropbox\PC\Desktop\FTW%20Data%20Analytics\Capstone\Final\Immunization%20(Final).xlsx" TargetMode="External"/><Relationship Id="rId1" Type="http://schemas.openxmlformats.org/officeDocument/2006/relationships/externalLinkPath" Target="Immunization%20(Final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car%20G.%20Lara\Dropbox\PC\Desktop\FTW%20Data%20Analytics\Capstone\Final\Prenatal%20(Final).xls" TargetMode="External"/><Relationship Id="rId1" Type="http://schemas.openxmlformats.org/officeDocument/2006/relationships/externalLinkPath" Target="Prenatal%20(Final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car%20G.%20Lara\Dropbox\PC\Desktop\FTW%20Data%20Analytics\Capstone\Final\Prenatal%20(Final).xls" TargetMode="External"/><Relationship Id="rId1" Type="http://schemas.openxmlformats.org/officeDocument/2006/relationships/externalLinkPath" Target="Prenatal%20(Fin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_immunization_2022_20251110"/>
      <sheetName val="Chart"/>
      <sheetName val="Matrix"/>
    </sheetNames>
    <sheetDataSet>
      <sheetData sheetId="0"/>
      <sheetData sheetId="1">
        <row r="3">
          <cell r="B3" t="str">
            <v>Immunization Rate</v>
          </cell>
        </row>
        <row r="4">
          <cell r="A4" t="str">
            <v>I</v>
          </cell>
          <cell r="B4">
            <v>0.28088578088578087</v>
          </cell>
        </row>
        <row r="5">
          <cell r="A5" t="str">
            <v>II</v>
          </cell>
          <cell r="B5">
            <v>0.34253640776699029</v>
          </cell>
        </row>
        <row r="6">
          <cell r="A6" t="str">
            <v>III</v>
          </cell>
          <cell r="B6">
            <v>0.30394304490690033</v>
          </cell>
        </row>
        <row r="7">
          <cell r="A7" t="str">
            <v>IV-A</v>
          </cell>
          <cell r="B7">
            <v>0.2730040595399188</v>
          </cell>
        </row>
        <row r="8">
          <cell r="A8" t="str">
            <v>IV-B</v>
          </cell>
          <cell r="B8">
            <v>0.27442307692307694</v>
          </cell>
        </row>
        <row r="9">
          <cell r="A9" t="str">
            <v>V</v>
          </cell>
          <cell r="B9">
            <v>0.27195210449927432</v>
          </cell>
        </row>
        <row r="10">
          <cell r="A10" t="str">
            <v>VI</v>
          </cell>
          <cell r="B10">
            <v>0.33005014326647564</v>
          </cell>
        </row>
        <row r="11">
          <cell r="A11" t="str">
            <v>VII</v>
          </cell>
          <cell r="B11">
            <v>0.26125776397515527</v>
          </cell>
        </row>
        <row r="12">
          <cell r="A12" t="str">
            <v>VIII</v>
          </cell>
          <cell r="B12">
            <v>0.31303945745992601</v>
          </cell>
        </row>
        <row r="13">
          <cell r="A13" t="str">
            <v>IX</v>
          </cell>
          <cell r="B13">
            <v>0.21144366197183098</v>
          </cell>
        </row>
        <row r="14">
          <cell r="A14" t="str">
            <v>X</v>
          </cell>
          <cell r="B14">
            <v>0.22937024972855591</v>
          </cell>
        </row>
        <row r="15">
          <cell r="A15" t="str">
            <v>XI</v>
          </cell>
          <cell r="B15">
            <v>0.26901709401709401</v>
          </cell>
        </row>
        <row r="16">
          <cell r="A16" t="str">
            <v>XII</v>
          </cell>
          <cell r="B16">
            <v>0.21347736625514405</v>
          </cell>
        </row>
        <row r="17">
          <cell r="A17" t="str">
            <v>XIII</v>
          </cell>
          <cell r="B17">
            <v>0.24732262382864792</v>
          </cell>
        </row>
        <row r="18">
          <cell r="A18" t="str">
            <v>NCR</v>
          </cell>
          <cell r="B18">
            <v>0.27118389423076922</v>
          </cell>
        </row>
        <row r="19">
          <cell r="A19" t="str">
            <v>CAR</v>
          </cell>
          <cell r="B19">
            <v>0.30461329715061058</v>
          </cell>
        </row>
        <row r="20">
          <cell r="A20" t="str">
            <v>BARMM</v>
          </cell>
          <cell r="B20">
            <v>8.3425720620842567E-2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_prenatal_postnatal_2022_20"/>
      <sheetName val="Chart"/>
      <sheetName val="Sheet2"/>
      <sheetName val="Sheet3"/>
    </sheetNames>
    <sheetDataSet>
      <sheetData sheetId="0"/>
      <sheetData sheetId="1">
        <row r="3">
          <cell r="B3" t="str">
            <v>Natal Visits Rate</v>
          </cell>
        </row>
        <row r="4">
          <cell r="A4" t="str">
            <v>I</v>
          </cell>
          <cell r="B4">
            <v>0.37596899224806202</v>
          </cell>
        </row>
        <row r="5">
          <cell r="A5" t="str">
            <v>II</v>
          </cell>
          <cell r="B5">
            <v>0.35028248587570621</v>
          </cell>
        </row>
        <row r="6">
          <cell r="A6" t="str">
            <v>III</v>
          </cell>
          <cell r="B6">
            <v>0.32763157894736844</v>
          </cell>
        </row>
        <row r="7">
          <cell r="A7" t="str">
            <v>IV-A</v>
          </cell>
          <cell r="B7">
            <v>0.34920634920634919</v>
          </cell>
        </row>
        <row r="8">
          <cell r="A8" t="str">
            <v>IV-B</v>
          </cell>
          <cell r="B8">
            <v>0.28163992869875221</v>
          </cell>
        </row>
        <row r="9">
          <cell r="A9" t="str">
            <v>V</v>
          </cell>
          <cell r="B9">
            <v>0.27327327327327328</v>
          </cell>
        </row>
        <row r="10">
          <cell r="A10" t="str">
            <v>VI</v>
          </cell>
          <cell r="B10">
            <v>0.37181663837011886</v>
          </cell>
        </row>
        <row r="11">
          <cell r="A11" t="str">
            <v>VII</v>
          </cell>
          <cell r="B11">
            <v>0.30407124681933845</v>
          </cell>
        </row>
        <row r="12">
          <cell r="A12" t="str">
            <v>VIII</v>
          </cell>
          <cell r="B12">
            <v>0.34413580246913578</v>
          </cell>
        </row>
        <row r="13">
          <cell r="A13" t="str">
            <v>IX</v>
          </cell>
          <cell r="B13">
            <v>0.22958870472682627</v>
          </cell>
        </row>
        <row r="14">
          <cell r="A14" t="str">
            <v>X</v>
          </cell>
          <cell r="B14">
            <v>0.2725129655822725</v>
          </cell>
        </row>
        <row r="15">
          <cell r="A15" t="str">
            <v>XI</v>
          </cell>
          <cell r="B15">
            <v>0.3097643097643098</v>
          </cell>
        </row>
        <row r="16">
          <cell r="A16" t="str">
            <v>XII</v>
          </cell>
          <cell r="B16">
            <v>0.24749163879598662</v>
          </cell>
        </row>
        <row r="17">
          <cell r="A17" t="str">
            <v>XIII</v>
          </cell>
          <cell r="B17">
            <v>0.32423208191126279</v>
          </cell>
        </row>
        <row r="18">
          <cell r="A18" t="str">
            <v>NCR</v>
          </cell>
          <cell r="B18">
            <v>0.32941176470588235</v>
          </cell>
        </row>
        <row r="19">
          <cell r="A19" t="str">
            <v>CAR</v>
          </cell>
          <cell r="B19">
            <v>0.35722411831626849</v>
          </cell>
        </row>
        <row r="20">
          <cell r="A20" t="str">
            <v>BARMM</v>
          </cell>
          <cell r="B20">
            <v>0.18125618199802176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D9B6-3AD4-4FA8-97D9-6631B9E60830}">
  <dimension ref="A1:R21"/>
  <sheetViews>
    <sheetView workbookViewId="0">
      <selection activeCell="R14" sqref="R14"/>
    </sheetView>
  </sheetViews>
  <sheetFormatPr defaultColWidth="11.53515625" defaultRowHeight="12.75" customHeight="1" x14ac:dyDescent="0.4"/>
  <cols>
    <col min="1" max="1" width="7.15234375" customWidth="1"/>
    <col min="2" max="2" width="9.3828125" customWidth="1"/>
    <col min="3" max="3" width="5.3046875" customWidth="1"/>
    <col min="4" max="4" width="19.921875" customWidth="1"/>
    <col min="5" max="5" width="15.921875" customWidth="1"/>
    <col min="6" max="6" width="11.4609375" customWidth="1"/>
    <col min="7" max="9" width="17.53515625" customWidth="1"/>
    <col min="10" max="12" width="12.15234375" customWidth="1"/>
    <col min="13" max="13" width="14.765625" customWidth="1"/>
  </cols>
  <sheetData>
    <row r="1" spans="1:18" ht="14.6" x14ac:dyDescent="0.4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O1" s="4"/>
      <c r="P1" s="4"/>
      <c r="Q1" s="5"/>
      <c r="R1" s="6"/>
    </row>
    <row r="2" spans="1:18" ht="14.6" x14ac:dyDescent="0.4">
      <c r="A2" t="s">
        <v>2</v>
      </c>
      <c r="B2" t="s">
        <v>33</v>
      </c>
      <c r="C2">
        <v>2022</v>
      </c>
      <c r="D2">
        <v>429</v>
      </c>
      <c r="E2">
        <v>110</v>
      </c>
      <c r="F2">
        <v>147</v>
      </c>
      <c r="G2">
        <v>131</v>
      </c>
      <c r="H2">
        <v>123</v>
      </c>
      <c r="I2">
        <v>113</v>
      </c>
      <c r="J2">
        <v>136</v>
      </c>
      <c r="K2">
        <v>126</v>
      </c>
      <c r="L2">
        <v>115</v>
      </c>
      <c r="M2">
        <v>73</v>
      </c>
      <c r="O2" s="8"/>
      <c r="P2" s="9"/>
      <c r="Q2" s="10"/>
    </row>
    <row r="3" spans="1:18" ht="14.6" x14ac:dyDescent="0.4">
      <c r="A3" t="s">
        <v>3</v>
      </c>
      <c r="B3" t="s">
        <v>33</v>
      </c>
      <c r="C3">
        <v>2022</v>
      </c>
      <c r="D3">
        <v>412</v>
      </c>
      <c r="E3">
        <v>111</v>
      </c>
      <c r="F3">
        <v>161</v>
      </c>
      <c r="G3">
        <v>161</v>
      </c>
      <c r="H3">
        <v>151</v>
      </c>
      <c r="I3">
        <v>135</v>
      </c>
      <c r="J3">
        <v>150</v>
      </c>
      <c r="K3">
        <v>142</v>
      </c>
      <c r="L3">
        <v>127</v>
      </c>
      <c r="M3">
        <v>102</v>
      </c>
      <c r="O3" s="8"/>
      <c r="P3" s="9"/>
      <c r="Q3" s="10"/>
    </row>
    <row r="4" spans="1:18" ht="14.6" x14ac:dyDescent="0.4">
      <c r="A4" t="s">
        <v>4</v>
      </c>
      <c r="B4" t="s">
        <v>33</v>
      </c>
      <c r="C4">
        <v>2022</v>
      </c>
      <c r="D4">
        <v>913</v>
      </c>
      <c r="E4">
        <v>254</v>
      </c>
      <c r="F4">
        <v>310</v>
      </c>
      <c r="G4">
        <v>305</v>
      </c>
      <c r="H4">
        <v>290</v>
      </c>
      <c r="I4">
        <v>274</v>
      </c>
      <c r="J4">
        <v>307</v>
      </c>
      <c r="K4">
        <v>291</v>
      </c>
      <c r="L4">
        <v>259</v>
      </c>
      <c r="M4">
        <v>184</v>
      </c>
      <c r="O4" s="8"/>
      <c r="P4" s="9"/>
      <c r="Q4" s="10"/>
    </row>
    <row r="5" spans="1:18" ht="14.6" x14ac:dyDescent="0.4">
      <c r="A5" t="s">
        <v>5</v>
      </c>
      <c r="B5" t="s">
        <v>33</v>
      </c>
      <c r="C5">
        <v>2022</v>
      </c>
      <c r="D5">
        <v>739</v>
      </c>
      <c r="E5">
        <v>167</v>
      </c>
      <c r="F5">
        <v>233</v>
      </c>
      <c r="G5">
        <v>234</v>
      </c>
      <c r="H5">
        <v>220</v>
      </c>
      <c r="I5">
        <v>203</v>
      </c>
      <c r="J5">
        <v>222</v>
      </c>
      <c r="K5">
        <v>197</v>
      </c>
      <c r="L5">
        <v>177</v>
      </c>
      <c r="M5">
        <v>128</v>
      </c>
      <c r="O5" s="8"/>
      <c r="P5" s="9"/>
      <c r="Q5" s="10"/>
    </row>
    <row r="6" spans="1:18" ht="14.6" x14ac:dyDescent="0.4">
      <c r="A6" t="s">
        <v>6</v>
      </c>
      <c r="B6" t="s">
        <v>33</v>
      </c>
      <c r="C6">
        <v>2022</v>
      </c>
      <c r="D6">
        <v>650</v>
      </c>
      <c r="E6">
        <v>189</v>
      </c>
      <c r="F6">
        <v>188</v>
      </c>
      <c r="G6">
        <v>227</v>
      </c>
      <c r="H6">
        <v>210</v>
      </c>
      <c r="I6">
        <v>191</v>
      </c>
      <c r="J6">
        <v>178</v>
      </c>
      <c r="K6">
        <v>165</v>
      </c>
      <c r="L6">
        <v>145</v>
      </c>
      <c r="M6">
        <v>123</v>
      </c>
      <c r="O6" s="8"/>
      <c r="P6" s="9"/>
      <c r="Q6" s="10"/>
    </row>
    <row r="7" spans="1:18" ht="14.6" x14ac:dyDescent="0.4">
      <c r="A7" t="s">
        <v>7</v>
      </c>
      <c r="B7" t="s">
        <v>33</v>
      </c>
      <c r="C7">
        <v>2022</v>
      </c>
      <c r="D7">
        <v>689</v>
      </c>
      <c r="E7">
        <v>183</v>
      </c>
      <c r="F7">
        <v>220</v>
      </c>
      <c r="G7">
        <v>213</v>
      </c>
      <c r="H7">
        <v>193</v>
      </c>
      <c r="I7">
        <v>175</v>
      </c>
      <c r="J7">
        <v>209</v>
      </c>
      <c r="K7">
        <v>194</v>
      </c>
      <c r="L7">
        <v>168</v>
      </c>
      <c r="M7">
        <v>127</v>
      </c>
      <c r="O7" s="8"/>
      <c r="P7" s="9"/>
      <c r="Q7" s="10"/>
    </row>
    <row r="8" spans="1:18" ht="14.6" x14ac:dyDescent="0.4">
      <c r="A8" t="s">
        <v>8</v>
      </c>
      <c r="B8" t="s">
        <v>35</v>
      </c>
      <c r="C8">
        <v>2022</v>
      </c>
      <c r="D8">
        <v>698</v>
      </c>
      <c r="E8">
        <v>243</v>
      </c>
      <c r="F8">
        <v>257</v>
      </c>
      <c r="G8">
        <v>253</v>
      </c>
      <c r="H8">
        <v>245</v>
      </c>
      <c r="I8">
        <v>229</v>
      </c>
      <c r="J8">
        <v>256</v>
      </c>
      <c r="K8">
        <v>240</v>
      </c>
      <c r="L8">
        <v>222</v>
      </c>
      <c r="M8">
        <v>141</v>
      </c>
      <c r="O8" s="8"/>
      <c r="P8" s="9"/>
      <c r="Q8" s="10"/>
    </row>
    <row r="9" spans="1:18" ht="14.6" x14ac:dyDescent="0.4">
      <c r="A9" t="s">
        <v>9</v>
      </c>
      <c r="B9" t="s">
        <v>35</v>
      </c>
      <c r="C9">
        <v>2022</v>
      </c>
      <c r="D9">
        <v>644</v>
      </c>
      <c r="E9">
        <v>143</v>
      </c>
      <c r="F9">
        <v>179</v>
      </c>
      <c r="G9">
        <v>184</v>
      </c>
      <c r="H9">
        <v>177</v>
      </c>
      <c r="I9">
        <v>164</v>
      </c>
      <c r="J9">
        <v>194</v>
      </c>
      <c r="K9">
        <v>182</v>
      </c>
      <c r="L9">
        <v>162</v>
      </c>
      <c r="M9">
        <v>104</v>
      </c>
      <c r="O9" s="8"/>
      <c r="P9" s="9"/>
      <c r="Q9" s="10"/>
    </row>
    <row r="10" spans="1:18" ht="14.6" x14ac:dyDescent="0.4">
      <c r="A10" t="s">
        <v>10</v>
      </c>
      <c r="B10" t="s">
        <v>35</v>
      </c>
      <c r="C10">
        <v>2022</v>
      </c>
      <c r="D10">
        <v>811</v>
      </c>
      <c r="E10">
        <v>237</v>
      </c>
      <c r="F10">
        <v>258</v>
      </c>
      <c r="G10">
        <v>281</v>
      </c>
      <c r="H10">
        <v>272</v>
      </c>
      <c r="I10">
        <v>258</v>
      </c>
      <c r="J10">
        <v>273</v>
      </c>
      <c r="K10">
        <v>264</v>
      </c>
      <c r="L10">
        <v>245</v>
      </c>
      <c r="M10">
        <v>180</v>
      </c>
      <c r="O10" s="8"/>
      <c r="P10" s="9"/>
      <c r="Q10" s="10"/>
    </row>
    <row r="11" spans="1:18" ht="14.6" x14ac:dyDescent="0.4">
      <c r="A11" t="s">
        <v>11</v>
      </c>
      <c r="B11" t="s">
        <v>37</v>
      </c>
      <c r="C11">
        <v>2022</v>
      </c>
      <c r="D11">
        <v>710</v>
      </c>
      <c r="E11">
        <v>139</v>
      </c>
      <c r="F11">
        <v>182</v>
      </c>
      <c r="G11">
        <v>175</v>
      </c>
      <c r="H11">
        <v>159</v>
      </c>
      <c r="I11">
        <v>144</v>
      </c>
      <c r="J11">
        <v>170</v>
      </c>
      <c r="K11">
        <v>152</v>
      </c>
      <c r="L11">
        <v>139</v>
      </c>
      <c r="M11">
        <v>80</v>
      </c>
      <c r="O11" s="8"/>
      <c r="P11" s="9"/>
      <c r="Q11" s="10"/>
    </row>
    <row r="12" spans="1:18" ht="14.6" x14ac:dyDescent="0.4">
      <c r="A12" t="s">
        <v>12</v>
      </c>
      <c r="B12" t="s">
        <v>37</v>
      </c>
      <c r="C12">
        <v>2022</v>
      </c>
      <c r="D12">
        <v>921</v>
      </c>
      <c r="E12">
        <v>205</v>
      </c>
      <c r="F12">
        <v>228</v>
      </c>
      <c r="G12">
        <v>241</v>
      </c>
      <c r="H12">
        <v>229</v>
      </c>
      <c r="I12">
        <v>208</v>
      </c>
      <c r="J12">
        <v>239</v>
      </c>
      <c r="K12">
        <v>219</v>
      </c>
      <c r="L12">
        <v>189</v>
      </c>
      <c r="M12">
        <v>137</v>
      </c>
      <c r="O12" s="8"/>
      <c r="P12" s="9"/>
      <c r="Q12" s="10"/>
    </row>
    <row r="13" spans="1:18" ht="14.6" x14ac:dyDescent="0.4">
      <c r="A13" t="s">
        <v>13</v>
      </c>
      <c r="B13" t="s">
        <v>37</v>
      </c>
      <c r="C13">
        <v>2022</v>
      </c>
      <c r="D13">
        <v>585</v>
      </c>
      <c r="E13">
        <v>141</v>
      </c>
      <c r="F13">
        <v>186</v>
      </c>
      <c r="G13">
        <v>195</v>
      </c>
      <c r="H13">
        <v>181</v>
      </c>
      <c r="I13">
        <v>157</v>
      </c>
      <c r="J13">
        <v>174</v>
      </c>
      <c r="K13">
        <v>150</v>
      </c>
      <c r="L13">
        <v>128</v>
      </c>
      <c r="M13">
        <v>88</v>
      </c>
      <c r="O13" s="8"/>
      <c r="P13" s="9"/>
      <c r="Q13" s="10"/>
    </row>
    <row r="14" spans="1:18" ht="14.6" x14ac:dyDescent="0.4">
      <c r="A14" t="s">
        <v>14</v>
      </c>
      <c r="B14" t="s">
        <v>37</v>
      </c>
      <c r="C14">
        <v>2022</v>
      </c>
      <c r="D14">
        <v>729</v>
      </c>
      <c r="E14">
        <v>137</v>
      </c>
      <c r="F14">
        <v>189</v>
      </c>
      <c r="G14">
        <v>190</v>
      </c>
      <c r="H14">
        <v>170</v>
      </c>
      <c r="I14">
        <v>148</v>
      </c>
      <c r="J14">
        <v>170</v>
      </c>
      <c r="K14">
        <v>149</v>
      </c>
      <c r="L14">
        <v>131</v>
      </c>
      <c r="M14">
        <v>98</v>
      </c>
      <c r="O14" s="8"/>
      <c r="P14" s="9"/>
      <c r="Q14" s="10"/>
    </row>
    <row r="15" spans="1:18" ht="14.6" x14ac:dyDescent="0.4">
      <c r="A15" t="s">
        <v>15</v>
      </c>
      <c r="B15" t="s">
        <v>37</v>
      </c>
      <c r="C15">
        <v>2022</v>
      </c>
      <c r="D15">
        <v>747</v>
      </c>
      <c r="E15">
        <v>179</v>
      </c>
      <c r="F15">
        <v>200</v>
      </c>
      <c r="G15">
        <v>223</v>
      </c>
      <c r="H15">
        <v>201</v>
      </c>
      <c r="I15">
        <v>175</v>
      </c>
      <c r="J15">
        <v>212</v>
      </c>
      <c r="K15">
        <v>186</v>
      </c>
      <c r="L15">
        <v>162</v>
      </c>
      <c r="M15">
        <v>119</v>
      </c>
      <c r="O15" s="8"/>
      <c r="P15" s="9"/>
      <c r="Q15" s="10"/>
    </row>
    <row r="16" spans="1:18" ht="14.6" x14ac:dyDescent="0.4">
      <c r="A16" t="s">
        <v>16</v>
      </c>
      <c r="B16" t="s">
        <v>33</v>
      </c>
      <c r="C16">
        <v>2022</v>
      </c>
      <c r="D16">
        <v>832</v>
      </c>
      <c r="E16">
        <v>178</v>
      </c>
      <c r="F16">
        <v>266</v>
      </c>
      <c r="G16">
        <v>261</v>
      </c>
      <c r="H16">
        <v>243</v>
      </c>
      <c r="I16">
        <v>220</v>
      </c>
      <c r="J16">
        <v>241</v>
      </c>
      <c r="K16">
        <v>219</v>
      </c>
      <c r="L16">
        <v>195</v>
      </c>
      <c r="M16">
        <v>160</v>
      </c>
      <c r="O16" s="8"/>
      <c r="P16" s="9"/>
      <c r="Q16" s="10"/>
    </row>
    <row r="17" spans="1:17" ht="14.6" x14ac:dyDescent="0.4">
      <c r="A17" t="s">
        <v>17</v>
      </c>
      <c r="B17" t="s">
        <v>33</v>
      </c>
      <c r="C17">
        <v>2022</v>
      </c>
      <c r="D17">
        <v>737</v>
      </c>
      <c r="E17">
        <v>162</v>
      </c>
      <c r="F17">
        <v>261</v>
      </c>
      <c r="G17">
        <v>254</v>
      </c>
      <c r="H17">
        <v>238</v>
      </c>
      <c r="I17">
        <v>220</v>
      </c>
      <c r="J17">
        <v>246</v>
      </c>
      <c r="K17">
        <v>221</v>
      </c>
      <c r="L17">
        <v>203</v>
      </c>
      <c r="M17">
        <v>153</v>
      </c>
      <c r="O17" s="8"/>
      <c r="P17" s="9"/>
      <c r="Q17" s="10"/>
    </row>
    <row r="18" spans="1:17" ht="14.6" x14ac:dyDescent="0.4">
      <c r="A18" t="s">
        <v>18</v>
      </c>
      <c r="B18" t="s">
        <v>37</v>
      </c>
      <c r="C18">
        <v>2022</v>
      </c>
      <c r="D18">
        <v>1804</v>
      </c>
      <c r="E18">
        <v>147</v>
      </c>
      <c r="F18">
        <v>184</v>
      </c>
      <c r="G18">
        <v>196</v>
      </c>
      <c r="H18">
        <v>163</v>
      </c>
      <c r="I18">
        <v>132</v>
      </c>
      <c r="J18">
        <v>172</v>
      </c>
      <c r="K18">
        <v>147</v>
      </c>
      <c r="L18">
        <v>125</v>
      </c>
      <c r="M18">
        <v>85</v>
      </c>
      <c r="O18" s="8"/>
      <c r="P18" s="9"/>
      <c r="Q18" s="10"/>
    </row>
    <row r="21" spans="1:17" ht="14.6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6097-7970-4728-AC46-9FDBC959242A}">
  <dimension ref="A1:U27"/>
  <sheetViews>
    <sheetView topLeftCell="E1" workbookViewId="0">
      <selection activeCell="J24" sqref="J24"/>
    </sheetView>
  </sheetViews>
  <sheetFormatPr defaultColWidth="11.53515625" defaultRowHeight="12.75" customHeight="1" x14ac:dyDescent="0.4"/>
  <cols>
    <col min="1" max="1" width="7.15234375" customWidth="1"/>
    <col min="2" max="2" width="9.3828125" customWidth="1"/>
    <col min="3" max="3" width="5.3046875" customWidth="1"/>
    <col min="4" max="4" width="19.921875" customWidth="1"/>
    <col min="5" max="5" width="15.921875" customWidth="1"/>
    <col min="6" max="6" width="11.4609375" customWidth="1"/>
    <col min="7" max="9" width="17.53515625" customWidth="1"/>
    <col min="10" max="12" width="12.15234375" customWidth="1"/>
    <col min="13" max="13" width="14.765625" customWidth="1"/>
    <col min="14" max="14" width="18.23046875" customWidth="1"/>
    <col min="15" max="15" width="14.07421875" customWidth="1"/>
  </cols>
  <sheetData>
    <row r="1" spans="1:21" ht="14.6" x14ac:dyDescent="0.4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1</v>
      </c>
      <c r="P1" s="3" t="s">
        <v>32</v>
      </c>
      <c r="R1" s="4"/>
      <c r="S1" s="4"/>
      <c r="T1" s="5"/>
      <c r="U1" s="6"/>
    </row>
    <row r="2" spans="1:21" ht="14.6" x14ac:dyDescent="0.4">
      <c r="A2" t="s">
        <v>2</v>
      </c>
      <c r="B2" t="s">
        <v>33</v>
      </c>
      <c r="C2">
        <v>2022</v>
      </c>
      <c r="D2">
        <v>429</v>
      </c>
      <c r="E2">
        <v>110</v>
      </c>
      <c r="F2">
        <v>147</v>
      </c>
      <c r="G2">
        <v>131</v>
      </c>
      <c r="H2">
        <v>123</v>
      </c>
      <c r="I2">
        <v>113</v>
      </c>
      <c r="J2">
        <v>136</v>
      </c>
      <c r="K2">
        <v>126</v>
      </c>
      <c r="L2">
        <v>115</v>
      </c>
      <c r="M2">
        <v>73</v>
      </c>
      <c r="N2" s="7">
        <f>AVERAGE(F2:M2)</f>
        <v>120.5</v>
      </c>
      <c r="O2" s="2">
        <f>N2/D2</f>
        <v>0.28088578088578087</v>
      </c>
      <c r="P2" s="3" t="s">
        <v>34</v>
      </c>
      <c r="R2" s="8"/>
      <c r="S2" s="9"/>
      <c r="T2" s="10"/>
    </row>
    <row r="3" spans="1:21" ht="14.6" x14ac:dyDescent="0.4">
      <c r="A3" t="s">
        <v>3</v>
      </c>
      <c r="B3" t="s">
        <v>33</v>
      </c>
      <c r="C3">
        <v>2022</v>
      </c>
      <c r="D3">
        <v>412</v>
      </c>
      <c r="E3">
        <v>111</v>
      </c>
      <c r="F3">
        <v>161</v>
      </c>
      <c r="G3">
        <v>161</v>
      </c>
      <c r="H3">
        <v>151</v>
      </c>
      <c r="I3">
        <v>135</v>
      </c>
      <c r="J3">
        <v>150</v>
      </c>
      <c r="K3">
        <v>142</v>
      </c>
      <c r="L3">
        <v>127</v>
      </c>
      <c r="M3">
        <v>102</v>
      </c>
      <c r="N3" s="7">
        <f t="shared" ref="N3:N18" si="0">AVERAGE(F3:M3)</f>
        <v>141.125</v>
      </c>
      <c r="O3" s="2">
        <f t="shared" ref="O3:O18" si="1">N3/D3</f>
        <v>0.34253640776699029</v>
      </c>
      <c r="P3" s="3" t="s">
        <v>34</v>
      </c>
      <c r="R3" s="8"/>
      <c r="S3" s="9"/>
      <c r="T3" s="10"/>
    </row>
    <row r="4" spans="1:21" ht="14.6" x14ac:dyDescent="0.4">
      <c r="A4" t="s">
        <v>4</v>
      </c>
      <c r="B4" t="s">
        <v>33</v>
      </c>
      <c r="C4">
        <v>2022</v>
      </c>
      <c r="D4">
        <v>913</v>
      </c>
      <c r="E4">
        <v>254</v>
      </c>
      <c r="F4">
        <v>310</v>
      </c>
      <c r="G4">
        <v>305</v>
      </c>
      <c r="H4">
        <v>290</v>
      </c>
      <c r="I4">
        <v>274</v>
      </c>
      <c r="J4">
        <v>307</v>
      </c>
      <c r="K4">
        <v>291</v>
      </c>
      <c r="L4">
        <v>259</v>
      </c>
      <c r="M4">
        <v>184</v>
      </c>
      <c r="N4" s="7">
        <f t="shared" si="0"/>
        <v>277.5</v>
      </c>
      <c r="O4" s="2">
        <f t="shared" si="1"/>
        <v>0.30394304490690033</v>
      </c>
      <c r="P4" s="3" t="s">
        <v>34</v>
      </c>
      <c r="R4" s="8"/>
      <c r="S4" s="9"/>
      <c r="T4" s="10"/>
    </row>
    <row r="5" spans="1:21" ht="14.6" x14ac:dyDescent="0.4">
      <c r="A5" t="s">
        <v>5</v>
      </c>
      <c r="B5" t="s">
        <v>33</v>
      </c>
      <c r="C5">
        <v>2022</v>
      </c>
      <c r="D5">
        <v>739</v>
      </c>
      <c r="E5">
        <v>167</v>
      </c>
      <c r="F5">
        <v>233</v>
      </c>
      <c r="G5">
        <v>234</v>
      </c>
      <c r="H5">
        <v>220</v>
      </c>
      <c r="I5">
        <v>203</v>
      </c>
      <c r="J5">
        <v>222</v>
      </c>
      <c r="K5">
        <v>197</v>
      </c>
      <c r="L5">
        <v>177</v>
      </c>
      <c r="M5">
        <v>128</v>
      </c>
      <c r="N5" s="7">
        <f t="shared" si="0"/>
        <v>201.75</v>
      </c>
      <c r="O5" s="2">
        <f t="shared" si="1"/>
        <v>0.2730040595399188</v>
      </c>
      <c r="P5" s="3" t="s">
        <v>34</v>
      </c>
      <c r="R5" s="8"/>
      <c r="S5" s="9"/>
      <c r="T5" s="10"/>
    </row>
    <row r="6" spans="1:21" ht="14.6" x14ac:dyDescent="0.4">
      <c r="A6" t="s">
        <v>6</v>
      </c>
      <c r="B6" t="s">
        <v>33</v>
      </c>
      <c r="C6">
        <v>2022</v>
      </c>
      <c r="D6">
        <v>650</v>
      </c>
      <c r="E6">
        <v>189</v>
      </c>
      <c r="F6">
        <v>188</v>
      </c>
      <c r="G6">
        <v>227</v>
      </c>
      <c r="H6">
        <v>210</v>
      </c>
      <c r="I6">
        <v>191</v>
      </c>
      <c r="J6">
        <v>178</v>
      </c>
      <c r="K6">
        <v>165</v>
      </c>
      <c r="L6">
        <v>145</v>
      </c>
      <c r="M6">
        <v>123</v>
      </c>
      <c r="N6" s="7">
        <f t="shared" si="0"/>
        <v>178.375</v>
      </c>
      <c r="O6" s="2">
        <f t="shared" si="1"/>
        <v>0.27442307692307694</v>
      </c>
      <c r="P6" s="3" t="s">
        <v>34</v>
      </c>
      <c r="R6" s="8"/>
      <c r="S6" s="9"/>
      <c r="T6" s="10"/>
    </row>
    <row r="7" spans="1:21" ht="14.6" x14ac:dyDescent="0.4">
      <c r="A7" t="s">
        <v>7</v>
      </c>
      <c r="B7" t="s">
        <v>33</v>
      </c>
      <c r="C7">
        <v>2022</v>
      </c>
      <c r="D7">
        <v>689</v>
      </c>
      <c r="E7">
        <v>183</v>
      </c>
      <c r="F7">
        <v>220</v>
      </c>
      <c r="G7">
        <v>213</v>
      </c>
      <c r="H7">
        <v>193</v>
      </c>
      <c r="I7">
        <v>175</v>
      </c>
      <c r="J7">
        <v>209</v>
      </c>
      <c r="K7">
        <v>194</v>
      </c>
      <c r="L7">
        <v>168</v>
      </c>
      <c r="M7">
        <v>127</v>
      </c>
      <c r="N7" s="7">
        <f t="shared" si="0"/>
        <v>187.375</v>
      </c>
      <c r="O7" s="2">
        <f t="shared" si="1"/>
        <v>0.27195210449927432</v>
      </c>
      <c r="P7" s="3" t="s">
        <v>34</v>
      </c>
      <c r="R7" s="8"/>
      <c r="S7" s="9"/>
      <c r="T7" s="10"/>
    </row>
    <row r="8" spans="1:21" ht="14.6" x14ac:dyDescent="0.4">
      <c r="A8" t="s">
        <v>8</v>
      </c>
      <c r="B8" t="s">
        <v>35</v>
      </c>
      <c r="C8">
        <v>2022</v>
      </c>
      <c r="D8">
        <v>698</v>
      </c>
      <c r="E8">
        <v>243</v>
      </c>
      <c r="F8">
        <v>257</v>
      </c>
      <c r="G8">
        <v>253</v>
      </c>
      <c r="H8">
        <v>245</v>
      </c>
      <c r="I8">
        <v>229</v>
      </c>
      <c r="J8">
        <v>256</v>
      </c>
      <c r="K8">
        <v>240</v>
      </c>
      <c r="L8">
        <v>222</v>
      </c>
      <c r="M8">
        <v>141</v>
      </c>
      <c r="N8" s="7">
        <f t="shared" si="0"/>
        <v>230.375</v>
      </c>
      <c r="O8" s="2">
        <f t="shared" si="1"/>
        <v>0.33005014326647564</v>
      </c>
      <c r="P8" s="3" t="s">
        <v>34</v>
      </c>
      <c r="R8" s="8"/>
      <c r="S8" s="9"/>
      <c r="T8" s="10"/>
    </row>
    <row r="9" spans="1:21" ht="14.6" x14ac:dyDescent="0.4">
      <c r="A9" t="s">
        <v>9</v>
      </c>
      <c r="B9" t="s">
        <v>35</v>
      </c>
      <c r="C9">
        <v>2022</v>
      </c>
      <c r="D9">
        <v>644</v>
      </c>
      <c r="E9">
        <v>143</v>
      </c>
      <c r="F9">
        <v>179</v>
      </c>
      <c r="G9">
        <v>184</v>
      </c>
      <c r="H9">
        <v>177</v>
      </c>
      <c r="I9">
        <v>164</v>
      </c>
      <c r="J9">
        <v>194</v>
      </c>
      <c r="K9">
        <v>182</v>
      </c>
      <c r="L9">
        <v>162</v>
      </c>
      <c r="M9">
        <v>104</v>
      </c>
      <c r="N9" s="7">
        <f t="shared" si="0"/>
        <v>168.25</v>
      </c>
      <c r="O9" s="2">
        <f t="shared" si="1"/>
        <v>0.26125776397515527</v>
      </c>
      <c r="P9" s="3" t="s">
        <v>36</v>
      </c>
      <c r="R9" s="8"/>
      <c r="S9" s="9"/>
      <c r="T9" s="10"/>
    </row>
    <row r="10" spans="1:21" ht="14.6" x14ac:dyDescent="0.4">
      <c r="A10" t="s">
        <v>10</v>
      </c>
      <c r="B10" t="s">
        <v>35</v>
      </c>
      <c r="C10">
        <v>2022</v>
      </c>
      <c r="D10">
        <v>811</v>
      </c>
      <c r="E10">
        <v>237</v>
      </c>
      <c r="F10">
        <v>258</v>
      </c>
      <c r="G10">
        <v>281</v>
      </c>
      <c r="H10">
        <v>272</v>
      </c>
      <c r="I10">
        <v>258</v>
      </c>
      <c r="J10">
        <v>273</v>
      </c>
      <c r="K10">
        <v>264</v>
      </c>
      <c r="L10">
        <v>245</v>
      </c>
      <c r="M10">
        <v>180</v>
      </c>
      <c r="N10" s="7">
        <f t="shared" si="0"/>
        <v>253.875</v>
      </c>
      <c r="O10" s="2">
        <f t="shared" si="1"/>
        <v>0.31303945745992601</v>
      </c>
      <c r="P10" s="3" t="s">
        <v>34</v>
      </c>
      <c r="R10" s="8"/>
      <c r="S10" s="9"/>
      <c r="T10" s="10"/>
    </row>
    <row r="11" spans="1:21" ht="14.6" x14ac:dyDescent="0.4">
      <c r="A11" t="s">
        <v>11</v>
      </c>
      <c r="B11" t="s">
        <v>37</v>
      </c>
      <c r="C11">
        <v>2022</v>
      </c>
      <c r="D11">
        <v>710</v>
      </c>
      <c r="E11">
        <v>139</v>
      </c>
      <c r="F11">
        <v>182</v>
      </c>
      <c r="G11">
        <v>175</v>
      </c>
      <c r="H11">
        <v>159</v>
      </c>
      <c r="I11">
        <v>144</v>
      </c>
      <c r="J11">
        <v>170</v>
      </c>
      <c r="K11">
        <v>152</v>
      </c>
      <c r="L11">
        <v>139</v>
      </c>
      <c r="M11">
        <v>80</v>
      </c>
      <c r="N11" s="7">
        <f t="shared" si="0"/>
        <v>150.125</v>
      </c>
      <c r="O11" s="2">
        <f t="shared" si="1"/>
        <v>0.21144366197183098</v>
      </c>
      <c r="P11" s="3" t="s">
        <v>36</v>
      </c>
      <c r="R11" s="8"/>
      <c r="S11" s="9"/>
      <c r="T11" s="10"/>
    </row>
    <row r="12" spans="1:21" ht="14.6" x14ac:dyDescent="0.4">
      <c r="A12" t="s">
        <v>12</v>
      </c>
      <c r="B12" t="s">
        <v>37</v>
      </c>
      <c r="C12">
        <v>2022</v>
      </c>
      <c r="D12">
        <v>921</v>
      </c>
      <c r="E12">
        <v>205</v>
      </c>
      <c r="F12">
        <v>228</v>
      </c>
      <c r="G12">
        <v>241</v>
      </c>
      <c r="H12">
        <v>229</v>
      </c>
      <c r="I12">
        <v>208</v>
      </c>
      <c r="J12">
        <v>239</v>
      </c>
      <c r="K12">
        <v>219</v>
      </c>
      <c r="L12">
        <v>189</v>
      </c>
      <c r="M12">
        <v>137</v>
      </c>
      <c r="N12" s="7">
        <f t="shared" si="0"/>
        <v>211.25</v>
      </c>
      <c r="O12" s="2">
        <f t="shared" si="1"/>
        <v>0.22937024972855591</v>
      </c>
      <c r="P12" s="3" t="s">
        <v>36</v>
      </c>
      <c r="R12" s="8"/>
      <c r="S12" s="9"/>
      <c r="T12" s="10"/>
    </row>
    <row r="13" spans="1:21" ht="14.6" x14ac:dyDescent="0.4">
      <c r="A13" t="s">
        <v>13</v>
      </c>
      <c r="B13" t="s">
        <v>37</v>
      </c>
      <c r="C13">
        <v>2022</v>
      </c>
      <c r="D13">
        <v>585</v>
      </c>
      <c r="E13">
        <v>141</v>
      </c>
      <c r="F13">
        <v>186</v>
      </c>
      <c r="G13">
        <v>195</v>
      </c>
      <c r="H13">
        <v>181</v>
      </c>
      <c r="I13">
        <v>157</v>
      </c>
      <c r="J13">
        <v>174</v>
      </c>
      <c r="K13">
        <v>150</v>
      </c>
      <c r="L13">
        <v>128</v>
      </c>
      <c r="M13">
        <v>88</v>
      </c>
      <c r="N13" s="7">
        <f t="shared" si="0"/>
        <v>157.375</v>
      </c>
      <c r="O13" s="2">
        <f t="shared" si="1"/>
        <v>0.26901709401709401</v>
      </c>
      <c r="P13" s="3" t="s">
        <v>36</v>
      </c>
      <c r="R13" s="8"/>
      <c r="S13" s="9"/>
      <c r="T13" s="10"/>
    </row>
    <row r="14" spans="1:21" ht="14.6" x14ac:dyDescent="0.4">
      <c r="A14" t="s">
        <v>14</v>
      </c>
      <c r="B14" t="s">
        <v>37</v>
      </c>
      <c r="C14">
        <v>2022</v>
      </c>
      <c r="D14">
        <v>729</v>
      </c>
      <c r="E14">
        <v>137</v>
      </c>
      <c r="F14">
        <v>189</v>
      </c>
      <c r="G14">
        <v>190</v>
      </c>
      <c r="H14">
        <v>170</v>
      </c>
      <c r="I14">
        <v>148</v>
      </c>
      <c r="J14">
        <v>170</v>
      </c>
      <c r="K14">
        <v>149</v>
      </c>
      <c r="L14">
        <v>131</v>
      </c>
      <c r="M14">
        <v>98</v>
      </c>
      <c r="N14" s="7">
        <f t="shared" si="0"/>
        <v>155.625</v>
      </c>
      <c r="O14" s="2">
        <f t="shared" si="1"/>
        <v>0.21347736625514405</v>
      </c>
      <c r="P14" s="3" t="s">
        <v>36</v>
      </c>
      <c r="R14" s="8"/>
      <c r="S14" s="9"/>
      <c r="T14" s="10"/>
    </row>
    <row r="15" spans="1:21" ht="14.6" x14ac:dyDescent="0.4">
      <c r="A15" t="s">
        <v>15</v>
      </c>
      <c r="B15" t="s">
        <v>37</v>
      </c>
      <c r="C15">
        <v>2022</v>
      </c>
      <c r="D15">
        <v>747</v>
      </c>
      <c r="E15">
        <v>179</v>
      </c>
      <c r="F15">
        <v>200</v>
      </c>
      <c r="G15">
        <v>223</v>
      </c>
      <c r="H15">
        <v>201</v>
      </c>
      <c r="I15">
        <v>175</v>
      </c>
      <c r="J15">
        <v>212</v>
      </c>
      <c r="K15">
        <v>186</v>
      </c>
      <c r="L15">
        <v>162</v>
      </c>
      <c r="M15">
        <v>119</v>
      </c>
      <c r="N15" s="7">
        <f t="shared" si="0"/>
        <v>184.75</v>
      </c>
      <c r="O15" s="2">
        <f t="shared" si="1"/>
        <v>0.24732262382864792</v>
      </c>
      <c r="P15" s="3" t="s">
        <v>36</v>
      </c>
      <c r="R15" s="8"/>
      <c r="S15" s="9"/>
      <c r="T15" s="10"/>
    </row>
    <row r="16" spans="1:21" ht="14.6" x14ac:dyDescent="0.4">
      <c r="A16" t="s">
        <v>16</v>
      </c>
      <c r="B16" t="s">
        <v>33</v>
      </c>
      <c r="C16">
        <v>2022</v>
      </c>
      <c r="D16">
        <v>832</v>
      </c>
      <c r="E16">
        <v>178</v>
      </c>
      <c r="F16">
        <v>266</v>
      </c>
      <c r="G16">
        <v>261</v>
      </c>
      <c r="H16">
        <v>243</v>
      </c>
      <c r="I16">
        <v>220</v>
      </c>
      <c r="J16">
        <v>241</v>
      </c>
      <c r="K16">
        <v>219</v>
      </c>
      <c r="L16">
        <v>195</v>
      </c>
      <c r="M16">
        <v>160</v>
      </c>
      <c r="N16" s="7">
        <f t="shared" si="0"/>
        <v>225.625</v>
      </c>
      <c r="O16" s="2">
        <f t="shared" si="1"/>
        <v>0.27118389423076922</v>
      </c>
      <c r="P16" s="3" t="s">
        <v>36</v>
      </c>
      <c r="R16" s="8"/>
      <c r="S16" s="9"/>
      <c r="T16" s="10"/>
    </row>
    <row r="17" spans="1:20" ht="14.6" x14ac:dyDescent="0.4">
      <c r="A17" t="s">
        <v>17</v>
      </c>
      <c r="B17" t="s">
        <v>33</v>
      </c>
      <c r="C17">
        <v>2022</v>
      </c>
      <c r="D17">
        <v>737</v>
      </c>
      <c r="E17">
        <v>162</v>
      </c>
      <c r="F17">
        <v>261</v>
      </c>
      <c r="G17">
        <v>254</v>
      </c>
      <c r="H17">
        <v>238</v>
      </c>
      <c r="I17">
        <v>220</v>
      </c>
      <c r="J17">
        <v>246</v>
      </c>
      <c r="K17">
        <v>221</v>
      </c>
      <c r="L17">
        <v>203</v>
      </c>
      <c r="M17">
        <v>153</v>
      </c>
      <c r="N17" s="7">
        <f t="shared" si="0"/>
        <v>224.5</v>
      </c>
      <c r="O17" s="2">
        <f t="shared" si="1"/>
        <v>0.30461329715061058</v>
      </c>
      <c r="P17" s="3" t="s">
        <v>34</v>
      </c>
      <c r="R17" s="8"/>
      <c r="S17" s="9"/>
      <c r="T17" s="10"/>
    </row>
    <row r="18" spans="1:20" ht="14.6" x14ac:dyDescent="0.4">
      <c r="A18" t="s">
        <v>18</v>
      </c>
      <c r="B18" t="s">
        <v>37</v>
      </c>
      <c r="C18">
        <v>2022</v>
      </c>
      <c r="D18">
        <v>1804</v>
      </c>
      <c r="E18">
        <v>147</v>
      </c>
      <c r="F18">
        <v>184</v>
      </c>
      <c r="G18">
        <v>196</v>
      </c>
      <c r="H18">
        <v>163</v>
      </c>
      <c r="I18">
        <v>132</v>
      </c>
      <c r="J18">
        <v>172</v>
      </c>
      <c r="K18">
        <v>147</v>
      </c>
      <c r="L18">
        <v>125</v>
      </c>
      <c r="M18">
        <v>85</v>
      </c>
      <c r="N18" s="7">
        <f t="shared" si="0"/>
        <v>150.5</v>
      </c>
      <c r="O18" s="2">
        <f t="shared" si="1"/>
        <v>8.3425720620842567E-2</v>
      </c>
      <c r="P18" s="3" t="s">
        <v>36</v>
      </c>
      <c r="R18" s="8"/>
      <c r="S18" s="9"/>
      <c r="T18" s="10"/>
    </row>
    <row r="21" spans="1:20" ht="14.6" x14ac:dyDescent="0.4">
      <c r="N21" s="27" t="s">
        <v>53</v>
      </c>
      <c r="O21" s="11">
        <f>MEDIAN(O2:O18)</f>
        <v>0.27195210449927432</v>
      </c>
    </row>
    <row r="23" spans="1:20" ht="12.75" customHeight="1" x14ac:dyDescent="0.4">
      <c r="F23" s="28" t="s">
        <v>55</v>
      </c>
    </row>
    <row r="24" spans="1:20" ht="12.75" customHeight="1" x14ac:dyDescent="0.4">
      <c r="F24" s="41" t="s">
        <v>75</v>
      </c>
    </row>
    <row r="25" spans="1:20" ht="12.75" customHeight="1" x14ac:dyDescent="0.4">
      <c r="F25" s="40"/>
    </row>
    <row r="26" spans="1:20" ht="12.75" customHeight="1" x14ac:dyDescent="0.4">
      <c r="F26" s="28" t="s">
        <v>56</v>
      </c>
    </row>
    <row r="27" spans="1:20" ht="12.75" customHeight="1" x14ac:dyDescent="0.4">
      <c r="F27" s="4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F6BE-99BF-44DF-B274-563C20DBC448}">
  <dimension ref="A3:B20"/>
  <sheetViews>
    <sheetView workbookViewId="0">
      <selection activeCell="C23" sqref="C23"/>
    </sheetView>
  </sheetViews>
  <sheetFormatPr defaultRowHeight="14.6" x14ac:dyDescent="0.4"/>
  <cols>
    <col min="2" max="2" width="18.23046875" customWidth="1"/>
  </cols>
  <sheetData>
    <row r="3" spans="1:2" x14ac:dyDescent="0.4">
      <c r="A3" s="1" t="s">
        <v>0</v>
      </c>
      <c r="B3" s="1" t="s">
        <v>1</v>
      </c>
    </row>
    <row r="4" spans="1:2" x14ac:dyDescent="0.4">
      <c r="A4" t="s">
        <v>2</v>
      </c>
      <c r="B4" s="2">
        <v>0.28088578088578087</v>
      </c>
    </row>
    <row r="5" spans="1:2" x14ac:dyDescent="0.4">
      <c r="A5" t="s">
        <v>3</v>
      </c>
      <c r="B5" s="2">
        <v>0.34253640776699029</v>
      </c>
    </row>
    <row r="6" spans="1:2" x14ac:dyDescent="0.4">
      <c r="A6" t="s">
        <v>4</v>
      </c>
      <c r="B6" s="2">
        <v>0.30394304490690033</v>
      </c>
    </row>
    <row r="7" spans="1:2" x14ac:dyDescent="0.4">
      <c r="A7" t="s">
        <v>5</v>
      </c>
      <c r="B7" s="2">
        <v>0.2730040595399188</v>
      </c>
    </row>
    <row r="8" spans="1:2" x14ac:dyDescent="0.4">
      <c r="A8" t="s">
        <v>6</v>
      </c>
      <c r="B8" s="2">
        <v>0.27442307692307694</v>
      </c>
    </row>
    <row r="9" spans="1:2" x14ac:dyDescent="0.4">
      <c r="A9" t="s">
        <v>7</v>
      </c>
      <c r="B9" s="2">
        <v>0.27195210449927432</v>
      </c>
    </row>
    <row r="10" spans="1:2" x14ac:dyDescent="0.4">
      <c r="A10" t="s">
        <v>8</v>
      </c>
      <c r="B10" s="2">
        <v>0.33005014326647564</v>
      </c>
    </row>
    <row r="11" spans="1:2" x14ac:dyDescent="0.4">
      <c r="A11" t="s">
        <v>9</v>
      </c>
      <c r="B11" s="2">
        <v>0.26125776397515527</v>
      </c>
    </row>
    <row r="12" spans="1:2" x14ac:dyDescent="0.4">
      <c r="A12" t="s">
        <v>10</v>
      </c>
      <c r="B12" s="2">
        <v>0.31303945745992601</v>
      </c>
    </row>
    <row r="13" spans="1:2" x14ac:dyDescent="0.4">
      <c r="A13" t="s">
        <v>11</v>
      </c>
      <c r="B13" s="2">
        <v>0.21144366197183098</v>
      </c>
    </row>
    <row r="14" spans="1:2" x14ac:dyDescent="0.4">
      <c r="A14" t="s">
        <v>12</v>
      </c>
      <c r="B14" s="2">
        <v>0.22937024972855591</v>
      </c>
    </row>
    <row r="15" spans="1:2" x14ac:dyDescent="0.4">
      <c r="A15" t="s">
        <v>13</v>
      </c>
      <c r="B15" s="2">
        <v>0.26901709401709401</v>
      </c>
    </row>
    <row r="16" spans="1:2" x14ac:dyDescent="0.4">
      <c r="A16" t="s">
        <v>14</v>
      </c>
      <c r="B16" s="2">
        <v>0.21347736625514405</v>
      </c>
    </row>
    <row r="17" spans="1:2" x14ac:dyDescent="0.4">
      <c r="A17" t="s">
        <v>15</v>
      </c>
      <c r="B17" s="2">
        <v>0.24732262382864792</v>
      </c>
    </row>
    <row r="18" spans="1:2" x14ac:dyDescent="0.4">
      <c r="A18" t="s">
        <v>16</v>
      </c>
      <c r="B18" s="2">
        <v>0.27118389423076922</v>
      </c>
    </row>
    <row r="19" spans="1:2" x14ac:dyDescent="0.4">
      <c r="A19" t="s">
        <v>17</v>
      </c>
      <c r="B19" s="2">
        <v>0.30461329715061058</v>
      </c>
    </row>
    <row r="20" spans="1:2" x14ac:dyDescent="0.4">
      <c r="A20" t="s">
        <v>18</v>
      </c>
      <c r="B20" s="2">
        <v>8.3425720620842567E-2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E934-7666-4307-9915-DD429D372A07}">
  <dimension ref="A1:E44"/>
  <sheetViews>
    <sheetView workbookViewId="0">
      <selection activeCell="J50" sqref="J50"/>
    </sheetView>
  </sheetViews>
  <sheetFormatPr defaultRowHeight="14.6" x14ac:dyDescent="0.4"/>
  <sheetData>
    <row r="1" spans="1:5" ht="15.9" x14ac:dyDescent="0.45">
      <c r="A1" s="14" t="s">
        <v>0</v>
      </c>
      <c r="B1" s="14" t="s">
        <v>38</v>
      </c>
      <c r="C1" s="14" t="s">
        <v>39</v>
      </c>
      <c r="D1" s="16" t="s">
        <v>40</v>
      </c>
      <c r="E1" s="16" t="s">
        <v>41</v>
      </c>
    </row>
    <row r="2" spans="1:5" ht="15.9" x14ac:dyDescent="0.45">
      <c r="A2" s="13" t="s">
        <v>2</v>
      </c>
      <c r="B2" s="15">
        <v>175110</v>
      </c>
      <c r="C2" s="19">
        <v>0.28088578088578087</v>
      </c>
      <c r="D2" s="17">
        <v>-57295</v>
      </c>
      <c r="E2" s="20">
        <v>5.1736910336799224E-2</v>
      </c>
    </row>
    <row r="3" spans="1:5" ht="15.9" x14ac:dyDescent="0.45">
      <c r="A3" s="13" t="s">
        <v>3</v>
      </c>
      <c r="B3" s="15">
        <v>89568</v>
      </c>
      <c r="C3" s="19">
        <v>0.34253640776699029</v>
      </c>
      <c r="D3" s="17">
        <v>-142837</v>
      </c>
      <c r="E3" s="20">
        <v>7.0584303267715975E-2</v>
      </c>
    </row>
    <row r="4" spans="1:5" ht="15.9" x14ac:dyDescent="0.45">
      <c r="A4" s="13" t="s">
        <v>4</v>
      </c>
      <c r="B4" s="15">
        <v>240624</v>
      </c>
      <c r="C4" s="19">
        <v>0.30394304490690033</v>
      </c>
      <c r="D4" s="17">
        <v>8219</v>
      </c>
      <c r="E4" s="20">
        <v>3.1990940407626012E-2</v>
      </c>
    </row>
    <row r="5" spans="1:5" ht="15.9" x14ac:dyDescent="0.45">
      <c r="A5" s="13" t="s">
        <v>5</v>
      </c>
      <c r="B5" s="15">
        <v>213013</v>
      </c>
      <c r="C5" s="19">
        <v>0.2730040595399188</v>
      </c>
      <c r="D5" s="17">
        <v>-19392</v>
      </c>
      <c r="E5" s="20">
        <v>1.0519550406444811E-3</v>
      </c>
    </row>
    <row r="6" spans="1:5" ht="15.9" x14ac:dyDescent="0.45">
      <c r="A6" s="13" t="s">
        <v>6</v>
      </c>
      <c r="B6" s="15">
        <v>182793</v>
      </c>
      <c r="C6" s="19">
        <v>0.27442307692307694</v>
      </c>
      <c r="D6" s="17">
        <v>-49612</v>
      </c>
      <c r="E6" s="20">
        <v>2.4709724238026198E-3</v>
      </c>
    </row>
    <row r="7" spans="1:5" ht="15.9" x14ac:dyDescent="0.45">
      <c r="A7" s="13" t="s">
        <v>7</v>
      </c>
      <c r="B7" s="15">
        <v>344302</v>
      </c>
      <c r="C7" s="19">
        <v>0.27195210449927432</v>
      </c>
      <c r="D7" s="17">
        <v>111897</v>
      </c>
      <c r="E7" s="20">
        <v>0</v>
      </c>
    </row>
    <row r="8" spans="1:5" ht="15.9" x14ac:dyDescent="0.45">
      <c r="A8" s="13" t="s">
        <v>8</v>
      </c>
      <c r="B8" s="15">
        <v>309658</v>
      </c>
      <c r="C8" s="19">
        <v>0.33005014326647564</v>
      </c>
      <c r="D8" s="17">
        <v>77253</v>
      </c>
      <c r="E8" s="20">
        <v>5.8098038767201321E-2</v>
      </c>
    </row>
    <row r="9" spans="1:5" ht="15.9" x14ac:dyDescent="0.45">
      <c r="A9" s="13" t="s">
        <v>9</v>
      </c>
      <c r="B9" s="15">
        <v>264126</v>
      </c>
      <c r="C9" s="19">
        <v>0.26125776397515527</v>
      </c>
      <c r="D9" s="17">
        <v>31721</v>
      </c>
      <c r="E9" s="20">
        <v>-1.069434052411905E-2</v>
      </c>
    </row>
    <row r="10" spans="1:5" ht="15.9" x14ac:dyDescent="0.45">
      <c r="A10" s="13" t="s">
        <v>10</v>
      </c>
      <c r="B10" s="15">
        <v>250171</v>
      </c>
      <c r="C10" s="19">
        <v>0.31303945745992601</v>
      </c>
      <c r="D10" s="17">
        <v>17766</v>
      </c>
      <c r="E10" s="20">
        <v>4.1087352960651691E-2</v>
      </c>
    </row>
    <row r="11" spans="1:5" ht="15.9" x14ac:dyDescent="0.45">
      <c r="A11" s="13" t="s">
        <v>11</v>
      </c>
      <c r="B11" s="15">
        <v>263420</v>
      </c>
      <c r="C11" s="19">
        <v>0.21144366197183098</v>
      </c>
      <c r="D11" s="17">
        <v>31015</v>
      </c>
      <c r="E11" s="20">
        <v>-6.0508442527443335E-2</v>
      </c>
    </row>
    <row r="12" spans="1:5" ht="15.9" x14ac:dyDescent="0.45">
      <c r="A12" s="13" t="s">
        <v>12</v>
      </c>
      <c r="B12" s="15">
        <v>232405</v>
      </c>
      <c r="C12" s="19">
        <v>0.22937024972855591</v>
      </c>
      <c r="D12" s="17">
        <v>0</v>
      </c>
      <c r="E12" s="20">
        <v>-4.2581854770718408E-2</v>
      </c>
    </row>
    <row r="13" spans="1:5" ht="15.9" x14ac:dyDescent="0.45">
      <c r="A13" s="13" t="s">
        <v>13</v>
      </c>
      <c r="B13" s="15">
        <v>254118</v>
      </c>
      <c r="C13" s="19">
        <v>0.26901709401709401</v>
      </c>
      <c r="D13" s="17">
        <v>21713</v>
      </c>
      <c r="E13" s="20">
        <v>-2.9350104821803114E-3</v>
      </c>
    </row>
    <row r="14" spans="1:5" ht="15.9" x14ac:dyDescent="0.45">
      <c r="A14" s="13" t="s">
        <v>14</v>
      </c>
      <c r="B14" s="15">
        <v>218298</v>
      </c>
      <c r="C14" s="19">
        <v>0.21347736625514405</v>
      </c>
      <c r="D14" s="17">
        <v>-14107</v>
      </c>
      <c r="E14" s="20">
        <v>-5.847473824413027E-2</v>
      </c>
    </row>
    <row r="15" spans="1:5" ht="15.9" x14ac:dyDescent="0.45">
      <c r="A15" s="13" t="s">
        <v>15</v>
      </c>
      <c r="B15" s="15">
        <v>179619</v>
      </c>
      <c r="C15" s="19">
        <v>0.24732262382864792</v>
      </c>
      <c r="D15" s="17">
        <v>-52786</v>
      </c>
      <c r="E15" s="20">
        <v>-2.4629480670626397E-2</v>
      </c>
    </row>
    <row r="16" spans="1:5" ht="15.9" x14ac:dyDescent="0.45">
      <c r="A16" s="13" t="s">
        <v>16</v>
      </c>
      <c r="B16" s="15">
        <v>191373</v>
      </c>
      <c r="C16" s="19">
        <v>0.27118389423076922</v>
      </c>
      <c r="D16" s="17">
        <v>-41032</v>
      </c>
      <c r="E16" s="20">
        <v>-7.6821026850509844E-4</v>
      </c>
    </row>
    <row r="17" spans="1:5" ht="15.9" x14ac:dyDescent="0.45">
      <c r="A17" s="13" t="s">
        <v>17</v>
      </c>
      <c r="B17" s="15">
        <v>50108</v>
      </c>
      <c r="C17" s="19">
        <v>0.30461329715061058</v>
      </c>
      <c r="D17" s="17">
        <v>-182297</v>
      </c>
      <c r="E17" s="20">
        <v>3.2661192651336268E-2</v>
      </c>
    </row>
    <row r="18" spans="1:5" ht="15.9" x14ac:dyDescent="0.45">
      <c r="A18" s="13" t="s">
        <v>18</v>
      </c>
      <c r="B18" s="15">
        <v>339445</v>
      </c>
      <c r="C18" s="19">
        <v>8.3425720620842567E-2</v>
      </c>
      <c r="D18" s="17">
        <v>107040</v>
      </c>
      <c r="E18" s="20">
        <v>-0.18852638387843174</v>
      </c>
    </row>
    <row r="20" spans="1:5" x14ac:dyDescent="0.4">
      <c r="A20" s="12"/>
      <c r="B20" s="12"/>
      <c r="C20" s="18"/>
      <c r="D20" s="12"/>
      <c r="E20" s="12"/>
    </row>
    <row r="33" spans="1:1" x14ac:dyDescent="0.4">
      <c r="A33" s="28" t="s">
        <v>55</v>
      </c>
    </row>
    <row r="34" spans="1:1" x14ac:dyDescent="0.4">
      <c r="A34" s="41" t="s">
        <v>59</v>
      </c>
    </row>
    <row r="35" spans="1:1" x14ac:dyDescent="0.4">
      <c r="A35" s="41" t="s">
        <v>58</v>
      </c>
    </row>
    <row r="36" spans="1:1" x14ac:dyDescent="0.4">
      <c r="A36" s="41" t="s">
        <v>68</v>
      </c>
    </row>
    <row r="37" spans="1:1" x14ac:dyDescent="0.4">
      <c r="A37" s="41" t="s">
        <v>67</v>
      </c>
    </row>
    <row r="38" spans="1:1" x14ac:dyDescent="0.4">
      <c r="A38" s="40"/>
    </row>
    <row r="39" spans="1:1" ht="25.75" x14ac:dyDescent="0.4">
      <c r="A39" s="28" t="s">
        <v>56</v>
      </c>
    </row>
    <row r="40" spans="1:1" x14ac:dyDescent="0.4">
      <c r="A40" s="41" t="s">
        <v>69</v>
      </c>
    </row>
    <row r="41" spans="1:1" x14ac:dyDescent="0.4">
      <c r="A41" s="41" t="s">
        <v>70</v>
      </c>
    </row>
    <row r="42" spans="1:1" x14ac:dyDescent="0.4">
      <c r="A42" s="41" t="s">
        <v>71</v>
      </c>
    </row>
    <row r="43" spans="1:1" x14ac:dyDescent="0.4">
      <c r="A43" s="41" t="s">
        <v>72</v>
      </c>
    </row>
    <row r="44" spans="1:1" x14ac:dyDescent="0.4">
      <c r="A44" s="41" t="s">
        <v>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0522-993B-45E0-A4B1-1E10D284DECD}">
  <dimension ref="A1:K23"/>
  <sheetViews>
    <sheetView workbookViewId="0">
      <selection activeCell="L11" sqref="L11"/>
    </sheetView>
  </sheetViews>
  <sheetFormatPr defaultRowHeight="14.6" x14ac:dyDescent="0.4"/>
  <cols>
    <col min="9" max="9" width="9.23046875" customWidth="1"/>
  </cols>
  <sheetData>
    <row r="1" spans="1:11" x14ac:dyDescent="0.4">
      <c r="A1" s="21" t="s">
        <v>42</v>
      </c>
      <c r="B1" s="21" t="s">
        <v>43</v>
      </c>
      <c r="C1" s="21" t="s">
        <v>44</v>
      </c>
      <c r="D1" s="21" t="s">
        <v>45</v>
      </c>
      <c r="E1" s="21" t="s">
        <v>46</v>
      </c>
      <c r="F1" s="21" t="s">
        <v>47</v>
      </c>
      <c r="G1" s="21" t="s">
        <v>48</v>
      </c>
      <c r="H1" s="21" t="s">
        <v>49</v>
      </c>
      <c r="I1" s="21" t="s">
        <v>50</v>
      </c>
      <c r="J1" s="21"/>
      <c r="K1" s="21"/>
    </row>
    <row r="2" spans="1:11" x14ac:dyDescent="0.4">
      <c r="A2" s="21" t="s">
        <v>2</v>
      </c>
      <c r="B2" s="21" t="s">
        <v>33</v>
      </c>
      <c r="C2" s="21">
        <v>2022</v>
      </c>
      <c r="D2" s="21">
        <v>290</v>
      </c>
      <c r="E2" s="21">
        <v>17</v>
      </c>
      <c r="F2" s="21">
        <v>344</v>
      </c>
      <c r="G2" s="21">
        <v>156</v>
      </c>
      <c r="H2" s="21">
        <v>110</v>
      </c>
      <c r="I2" s="21">
        <v>122</v>
      </c>
      <c r="J2" s="21"/>
      <c r="K2" s="24"/>
    </row>
    <row r="3" spans="1:11" x14ac:dyDescent="0.4">
      <c r="A3" s="21" t="s">
        <v>3</v>
      </c>
      <c r="B3" s="21" t="s">
        <v>33</v>
      </c>
      <c r="C3" s="21">
        <v>2022</v>
      </c>
      <c r="D3" s="21">
        <v>301</v>
      </c>
      <c r="E3" s="21">
        <v>18</v>
      </c>
      <c r="F3" s="21">
        <v>354</v>
      </c>
      <c r="G3" s="21">
        <v>166</v>
      </c>
      <c r="H3" s="21">
        <v>100</v>
      </c>
      <c r="I3" s="21">
        <v>106</v>
      </c>
      <c r="J3" s="21"/>
      <c r="K3" s="24"/>
    </row>
    <row r="4" spans="1:11" x14ac:dyDescent="0.4">
      <c r="A4" s="21" t="s">
        <v>4</v>
      </c>
      <c r="B4" s="21" t="s">
        <v>33</v>
      </c>
      <c r="C4" s="21">
        <v>2022</v>
      </c>
      <c r="D4" s="21">
        <v>638</v>
      </c>
      <c r="E4" s="21">
        <v>33</v>
      </c>
      <c r="F4" s="21">
        <v>760</v>
      </c>
      <c r="G4" s="21">
        <v>335</v>
      </c>
      <c r="H4" s="21">
        <v>195</v>
      </c>
      <c r="I4" s="21">
        <v>217</v>
      </c>
      <c r="J4" s="21"/>
      <c r="K4" s="24"/>
    </row>
    <row r="5" spans="1:11" x14ac:dyDescent="0.4">
      <c r="A5" s="21" t="s">
        <v>5</v>
      </c>
      <c r="B5" s="21" t="s">
        <v>33</v>
      </c>
      <c r="C5" s="21">
        <v>2022</v>
      </c>
      <c r="D5" s="21">
        <v>469</v>
      </c>
      <c r="E5" s="21">
        <v>23</v>
      </c>
      <c r="F5" s="21">
        <v>567</v>
      </c>
      <c r="G5" s="21">
        <v>240</v>
      </c>
      <c r="H5" s="21">
        <v>157</v>
      </c>
      <c r="I5" s="21">
        <v>197</v>
      </c>
      <c r="J5" s="21"/>
      <c r="K5" s="24"/>
    </row>
    <row r="6" spans="1:11" x14ac:dyDescent="0.4">
      <c r="A6" s="21" t="s">
        <v>6</v>
      </c>
      <c r="B6" s="21" t="s">
        <v>33</v>
      </c>
      <c r="C6" s="21">
        <v>2022</v>
      </c>
      <c r="D6" s="21">
        <v>455</v>
      </c>
      <c r="E6" s="21">
        <v>20</v>
      </c>
      <c r="F6" s="21">
        <v>561</v>
      </c>
      <c r="G6" s="21">
        <v>238</v>
      </c>
      <c r="H6" s="21">
        <v>112</v>
      </c>
      <c r="I6" s="21">
        <v>124</v>
      </c>
      <c r="J6" s="21"/>
      <c r="K6" s="24"/>
    </row>
    <row r="7" spans="1:11" x14ac:dyDescent="0.4">
      <c r="A7" s="21" t="s">
        <v>7</v>
      </c>
      <c r="B7" s="21" t="s">
        <v>33</v>
      </c>
      <c r="C7" s="21">
        <v>2022</v>
      </c>
      <c r="D7" s="21">
        <v>455</v>
      </c>
      <c r="E7" s="21">
        <v>29</v>
      </c>
      <c r="F7" s="21">
        <v>555</v>
      </c>
      <c r="G7" s="21">
        <v>234</v>
      </c>
      <c r="H7" s="21">
        <v>101</v>
      </c>
      <c r="I7" s="21">
        <v>120</v>
      </c>
      <c r="J7" s="21"/>
      <c r="K7" s="24"/>
    </row>
    <row r="8" spans="1:11" x14ac:dyDescent="0.4">
      <c r="A8" s="21" t="s">
        <v>8</v>
      </c>
      <c r="B8" s="21" t="s">
        <v>35</v>
      </c>
      <c r="C8" s="21">
        <v>2022</v>
      </c>
      <c r="D8" s="21">
        <v>509</v>
      </c>
      <c r="E8" s="21">
        <v>19</v>
      </c>
      <c r="F8" s="21">
        <v>589</v>
      </c>
      <c r="G8" s="21">
        <v>281</v>
      </c>
      <c r="H8" s="21">
        <v>188</v>
      </c>
      <c r="I8" s="21">
        <v>188</v>
      </c>
      <c r="J8" s="21"/>
      <c r="K8" s="24"/>
    </row>
    <row r="9" spans="1:11" x14ac:dyDescent="0.4">
      <c r="A9" s="21" t="s">
        <v>9</v>
      </c>
      <c r="B9" s="21" t="s">
        <v>35</v>
      </c>
      <c r="C9" s="21">
        <v>2022</v>
      </c>
      <c r="D9" s="21">
        <v>429</v>
      </c>
      <c r="E9" s="21">
        <v>23</v>
      </c>
      <c r="F9" s="21">
        <v>524</v>
      </c>
      <c r="G9" s="21">
        <v>216</v>
      </c>
      <c r="H9" s="21">
        <v>123</v>
      </c>
      <c r="I9" s="21">
        <v>139</v>
      </c>
      <c r="J9" s="21"/>
      <c r="K9" s="24"/>
    </row>
    <row r="10" spans="1:11" x14ac:dyDescent="0.4">
      <c r="A10" s="21" t="s">
        <v>10</v>
      </c>
      <c r="B10" s="21" t="s">
        <v>35</v>
      </c>
      <c r="C10" s="21">
        <v>2022</v>
      </c>
      <c r="D10" s="21">
        <v>535</v>
      </c>
      <c r="E10" s="21">
        <v>31</v>
      </c>
      <c r="F10" s="21">
        <v>648</v>
      </c>
      <c r="G10" s="21">
        <v>295</v>
      </c>
      <c r="H10" s="21">
        <v>171</v>
      </c>
      <c r="I10" s="21">
        <v>203</v>
      </c>
      <c r="J10" s="21"/>
      <c r="K10" s="24"/>
    </row>
    <row r="11" spans="1:11" x14ac:dyDescent="0.4">
      <c r="A11" s="21" t="s">
        <v>11</v>
      </c>
      <c r="B11" s="21" t="s">
        <v>37</v>
      </c>
      <c r="C11" s="21">
        <v>2022</v>
      </c>
      <c r="D11" s="21">
        <v>422</v>
      </c>
      <c r="E11" s="21">
        <v>21</v>
      </c>
      <c r="F11" s="21">
        <v>543</v>
      </c>
      <c r="G11" s="21">
        <v>209</v>
      </c>
      <c r="H11" s="21">
        <v>81</v>
      </c>
      <c r="I11" s="21">
        <v>84</v>
      </c>
      <c r="J11" s="21"/>
      <c r="K11" s="24"/>
    </row>
    <row r="12" spans="1:11" x14ac:dyDescent="0.4">
      <c r="A12" s="21" t="s">
        <v>12</v>
      </c>
      <c r="B12" s="21" t="s">
        <v>37</v>
      </c>
      <c r="C12" s="21">
        <v>2022</v>
      </c>
      <c r="D12" s="21">
        <v>566</v>
      </c>
      <c r="E12" s="21">
        <v>25</v>
      </c>
      <c r="F12" s="21">
        <v>707</v>
      </c>
      <c r="G12" s="21">
        <v>276</v>
      </c>
      <c r="H12" s="21">
        <v>147</v>
      </c>
      <c r="I12" s="21">
        <v>155</v>
      </c>
      <c r="J12" s="21"/>
      <c r="K12" s="24"/>
    </row>
    <row r="13" spans="1:11" x14ac:dyDescent="0.4">
      <c r="A13" s="21" t="s">
        <v>13</v>
      </c>
      <c r="B13" s="21" t="s">
        <v>37</v>
      </c>
      <c r="C13" s="21">
        <v>2022</v>
      </c>
      <c r="D13" s="21">
        <v>414</v>
      </c>
      <c r="E13" s="21">
        <v>18</v>
      </c>
      <c r="F13" s="21">
        <v>495</v>
      </c>
      <c r="G13" s="21">
        <v>205</v>
      </c>
      <c r="H13" s="21">
        <v>111</v>
      </c>
      <c r="I13" s="21">
        <v>144</v>
      </c>
      <c r="J13" s="21"/>
      <c r="K13" s="24"/>
    </row>
    <row r="14" spans="1:11" x14ac:dyDescent="0.4">
      <c r="A14" s="21" t="s">
        <v>14</v>
      </c>
      <c r="B14" s="21" t="s">
        <v>37</v>
      </c>
      <c r="C14" s="21">
        <v>2022</v>
      </c>
      <c r="D14" s="21">
        <v>471</v>
      </c>
      <c r="E14" s="21">
        <v>22</v>
      </c>
      <c r="F14" s="21">
        <v>598</v>
      </c>
      <c r="G14" s="21">
        <v>235</v>
      </c>
      <c r="H14" s="21">
        <v>105</v>
      </c>
      <c r="I14" s="21">
        <v>104</v>
      </c>
      <c r="J14" s="21"/>
      <c r="K14" s="24"/>
    </row>
    <row r="15" spans="1:11" x14ac:dyDescent="0.4">
      <c r="A15" s="21" t="s">
        <v>15</v>
      </c>
      <c r="B15" s="21" t="s">
        <v>37</v>
      </c>
      <c r="C15" s="21">
        <v>2022</v>
      </c>
      <c r="D15" s="21">
        <v>486</v>
      </c>
      <c r="E15" s="21">
        <v>16</v>
      </c>
      <c r="F15" s="21">
        <v>586</v>
      </c>
      <c r="G15" s="21">
        <v>261</v>
      </c>
      <c r="H15" s="21">
        <v>138</v>
      </c>
      <c r="I15" s="21">
        <v>171</v>
      </c>
      <c r="J15" s="21"/>
      <c r="K15" s="24"/>
    </row>
    <row r="16" spans="1:11" x14ac:dyDescent="0.4">
      <c r="A16" s="21" t="s">
        <v>16</v>
      </c>
      <c r="B16" s="21" t="s">
        <v>33</v>
      </c>
      <c r="C16" s="21">
        <v>2022</v>
      </c>
      <c r="D16" s="21">
        <v>582</v>
      </c>
      <c r="E16" s="21">
        <v>21</v>
      </c>
      <c r="F16" s="21">
        <v>680</v>
      </c>
      <c r="G16" s="21">
        <v>277</v>
      </c>
      <c r="H16" s="21">
        <v>197</v>
      </c>
      <c r="I16" s="21">
        <v>198</v>
      </c>
      <c r="J16" s="21"/>
      <c r="K16" s="24"/>
    </row>
    <row r="17" spans="1:11" x14ac:dyDescent="0.4">
      <c r="A17" s="21" t="s">
        <v>17</v>
      </c>
      <c r="B17" s="21" t="s">
        <v>33</v>
      </c>
      <c r="C17" s="21">
        <v>2022</v>
      </c>
      <c r="D17" s="21">
        <v>489</v>
      </c>
      <c r="E17" s="21">
        <v>27</v>
      </c>
      <c r="F17" s="21">
        <v>586</v>
      </c>
      <c r="G17" s="21">
        <v>256</v>
      </c>
      <c r="H17" s="21">
        <v>191</v>
      </c>
      <c r="I17" s="21">
        <v>181</v>
      </c>
      <c r="J17" s="21"/>
      <c r="K17" s="24"/>
    </row>
    <row r="18" spans="1:11" x14ac:dyDescent="0.4">
      <c r="A18" s="21" t="s">
        <v>18</v>
      </c>
      <c r="B18" s="21" t="s">
        <v>37</v>
      </c>
      <c r="C18" s="21">
        <v>2022</v>
      </c>
      <c r="D18" s="21">
        <v>967</v>
      </c>
      <c r="E18" s="21">
        <v>81</v>
      </c>
      <c r="F18" s="21">
        <v>1348</v>
      </c>
      <c r="G18" s="21">
        <v>313</v>
      </c>
      <c r="H18" s="21">
        <v>196</v>
      </c>
      <c r="I18" s="21">
        <v>224</v>
      </c>
      <c r="J18" s="21"/>
      <c r="K18" s="24"/>
    </row>
    <row r="23" spans="1:11" x14ac:dyDescent="0.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5EE5-3180-42DF-8669-3D0237118594}">
  <dimension ref="A1:N31"/>
  <sheetViews>
    <sheetView workbookViewId="0">
      <selection activeCell="A27" sqref="A27:A31"/>
    </sheetView>
  </sheetViews>
  <sheetFormatPr defaultRowHeight="14.6" x14ac:dyDescent="0.4"/>
  <cols>
    <col min="1" max="1" width="10" customWidth="1"/>
  </cols>
  <sheetData>
    <row r="1" spans="1:14" x14ac:dyDescent="0.4">
      <c r="A1" s="21" t="s">
        <v>42</v>
      </c>
      <c r="B1" s="21" t="s">
        <v>43</v>
      </c>
      <c r="C1" s="21" t="s">
        <v>44</v>
      </c>
      <c r="D1" s="21" t="s">
        <v>45</v>
      </c>
      <c r="E1" s="21" t="s">
        <v>46</v>
      </c>
      <c r="F1" s="21" t="s">
        <v>47</v>
      </c>
      <c r="G1" s="21" t="s">
        <v>48</v>
      </c>
      <c r="H1" s="21" t="s">
        <v>49</v>
      </c>
      <c r="I1" s="21" t="s">
        <v>50</v>
      </c>
      <c r="J1" s="21" t="s">
        <v>51</v>
      </c>
      <c r="K1" s="21" t="s">
        <v>52</v>
      </c>
      <c r="L1" s="21" t="s">
        <v>32</v>
      </c>
      <c r="M1" s="21"/>
      <c r="N1" s="21"/>
    </row>
    <row r="2" spans="1:14" x14ac:dyDescent="0.4">
      <c r="A2" s="21" t="s">
        <v>2</v>
      </c>
      <c r="B2" s="21" t="s">
        <v>33</v>
      </c>
      <c r="C2" s="21">
        <v>2022</v>
      </c>
      <c r="D2" s="21">
        <v>290</v>
      </c>
      <c r="E2" s="21">
        <v>17</v>
      </c>
      <c r="F2" s="21">
        <v>344</v>
      </c>
      <c r="G2" s="21">
        <v>156</v>
      </c>
      <c r="H2" s="21">
        <v>110</v>
      </c>
      <c r="I2" s="21">
        <v>122</v>
      </c>
      <c r="J2" s="22">
        <v>129.33333333333334</v>
      </c>
      <c r="K2" s="23">
        <v>0.37596899224806202</v>
      </c>
      <c r="L2" s="21" t="s">
        <v>34</v>
      </c>
      <c r="M2" s="21"/>
      <c r="N2" s="24"/>
    </row>
    <row r="3" spans="1:14" x14ac:dyDescent="0.4">
      <c r="A3" s="21" t="s">
        <v>3</v>
      </c>
      <c r="B3" s="21" t="s">
        <v>33</v>
      </c>
      <c r="C3" s="21">
        <v>2022</v>
      </c>
      <c r="D3" s="21">
        <v>301</v>
      </c>
      <c r="E3" s="21">
        <v>18</v>
      </c>
      <c r="F3" s="21">
        <v>354</v>
      </c>
      <c r="G3" s="21">
        <v>166</v>
      </c>
      <c r="H3" s="21">
        <v>100</v>
      </c>
      <c r="I3" s="21">
        <v>106</v>
      </c>
      <c r="J3" s="22">
        <v>124</v>
      </c>
      <c r="K3" s="23">
        <v>0.35028248587570621</v>
      </c>
      <c r="L3" s="21" t="s">
        <v>34</v>
      </c>
      <c r="M3" s="21"/>
      <c r="N3" s="24"/>
    </row>
    <row r="4" spans="1:14" x14ac:dyDescent="0.4">
      <c r="A4" s="21" t="s">
        <v>4</v>
      </c>
      <c r="B4" s="21" t="s">
        <v>33</v>
      </c>
      <c r="C4" s="21">
        <v>2022</v>
      </c>
      <c r="D4" s="21">
        <v>638</v>
      </c>
      <c r="E4" s="21">
        <v>33</v>
      </c>
      <c r="F4" s="21">
        <v>760</v>
      </c>
      <c r="G4" s="21">
        <v>335</v>
      </c>
      <c r="H4" s="21">
        <v>195</v>
      </c>
      <c r="I4" s="21">
        <v>217</v>
      </c>
      <c r="J4" s="22">
        <v>249</v>
      </c>
      <c r="K4" s="23">
        <v>0.32763157894736844</v>
      </c>
      <c r="L4" s="21" t="s">
        <v>34</v>
      </c>
      <c r="M4" s="21"/>
      <c r="N4" s="24"/>
    </row>
    <row r="5" spans="1:14" x14ac:dyDescent="0.4">
      <c r="A5" s="21" t="s">
        <v>5</v>
      </c>
      <c r="B5" s="21" t="s">
        <v>33</v>
      </c>
      <c r="C5" s="21">
        <v>2022</v>
      </c>
      <c r="D5" s="21">
        <v>469</v>
      </c>
      <c r="E5" s="21">
        <v>23</v>
      </c>
      <c r="F5" s="21">
        <v>567</v>
      </c>
      <c r="G5" s="21">
        <v>240</v>
      </c>
      <c r="H5" s="21">
        <v>157</v>
      </c>
      <c r="I5" s="21">
        <v>197</v>
      </c>
      <c r="J5" s="22">
        <v>198</v>
      </c>
      <c r="K5" s="23">
        <v>0.34920634920634919</v>
      </c>
      <c r="L5" s="21" t="s">
        <v>34</v>
      </c>
      <c r="M5" s="21"/>
      <c r="N5" s="24"/>
    </row>
    <row r="6" spans="1:14" x14ac:dyDescent="0.4">
      <c r="A6" s="21" t="s">
        <v>6</v>
      </c>
      <c r="B6" s="21" t="s">
        <v>33</v>
      </c>
      <c r="C6" s="21">
        <v>2022</v>
      </c>
      <c r="D6" s="21">
        <v>455</v>
      </c>
      <c r="E6" s="21">
        <v>20</v>
      </c>
      <c r="F6" s="21">
        <v>561</v>
      </c>
      <c r="G6" s="21">
        <v>238</v>
      </c>
      <c r="H6" s="21">
        <v>112</v>
      </c>
      <c r="I6" s="21">
        <v>124</v>
      </c>
      <c r="J6" s="22">
        <v>158</v>
      </c>
      <c r="K6" s="23">
        <v>0.28163992869875221</v>
      </c>
      <c r="L6" s="21" t="s">
        <v>36</v>
      </c>
      <c r="M6" s="21"/>
      <c r="N6" s="24"/>
    </row>
    <row r="7" spans="1:14" x14ac:dyDescent="0.4">
      <c r="A7" s="21" t="s">
        <v>7</v>
      </c>
      <c r="B7" s="21" t="s">
        <v>33</v>
      </c>
      <c r="C7" s="21">
        <v>2022</v>
      </c>
      <c r="D7" s="21">
        <v>455</v>
      </c>
      <c r="E7" s="21">
        <v>29</v>
      </c>
      <c r="F7" s="21">
        <v>555</v>
      </c>
      <c r="G7" s="21">
        <v>234</v>
      </c>
      <c r="H7" s="21">
        <v>101</v>
      </c>
      <c r="I7" s="21">
        <v>120</v>
      </c>
      <c r="J7" s="22">
        <v>151.66666666666666</v>
      </c>
      <c r="K7" s="23">
        <v>0.27327327327327328</v>
      </c>
      <c r="L7" s="21" t="s">
        <v>36</v>
      </c>
      <c r="M7" s="21"/>
      <c r="N7" s="24"/>
    </row>
    <row r="8" spans="1:14" x14ac:dyDescent="0.4">
      <c r="A8" s="21" t="s">
        <v>8</v>
      </c>
      <c r="B8" s="21" t="s">
        <v>35</v>
      </c>
      <c r="C8" s="21">
        <v>2022</v>
      </c>
      <c r="D8" s="21">
        <v>509</v>
      </c>
      <c r="E8" s="21">
        <v>19</v>
      </c>
      <c r="F8" s="21">
        <v>589</v>
      </c>
      <c r="G8" s="21">
        <v>281</v>
      </c>
      <c r="H8" s="21">
        <v>188</v>
      </c>
      <c r="I8" s="21">
        <v>188</v>
      </c>
      <c r="J8" s="22">
        <v>219</v>
      </c>
      <c r="K8" s="23">
        <v>0.37181663837011886</v>
      </c>
      <c r="L8" s="21" t="s">
        <v>34</v>
      </c>
      <c r="M8" s="21"/>
      <c r="N8" s="24"/>
    </row>
    <row r="9" spans="1:14" x14ac:dyDescent="0.4">
      <c r="A9" s="21" t="s">
        <v>9</v>
      </c>
      <c r="B9" s="21" t="s">
        <v>35</v>
      </c>
      <c r="C9" s="21">
        <v>2022</v>
      </c>
      <c r="D9" s="21">
        <v>429</v>
      </c>
      <c r="E9" s="21">
        <v>23</v>
      </c>
      <c r="F9" s="21">
        <v>524</v>
      </c>
      <c r="G9" s="21">
        <v>216</v>
      </c>
      <c r="H9" s="21">
        <v>123</v>
      </c>
      <c r="I9" s="21">
        <v>139</v>
      </c>
      <c r="J9" s="22">
        <v>159.33333333333334</v>
      </c>
      <c r="K9" s="23">
        <v>0.30407124681933845</v>
      </c>
      <c r="L9" s="21" t="s">
        <v>36</v>
      </c>
      <c r="M9" s="21"/>
      <c r="N9" s="24"/>
    </row>
    <row r="10" spans="1:14" x14ac:dyDescent="0.4">
      <c r="A10" s="21" t="s">
        <v>10</v>
      </c>
      <c r="B10" s="21" t="s">
        <v>35</v>
      </c>
      <c r="C10" s="21">
        <v>2022</v>
      </c>
      <c r="D10" s="21">
        <v>535</v>
      </c>
      <c r="E10" s="21">
        <v>31</v>
      </c>
      <c r="F10" s="21">
        <v>648</v>
      </c>
      <c r="G10" s="21">
        <v>295</v>
      </c>
      <c r="H10" s="21">
        <v>171</v>
      </c>
      <c r="I10" s="21">
        <v>203</v>
      </c>
      <c r="J10" s="22">
        <v>223</v>
      </c>
      <c r="K10" s="23">
        <v>0.34413580246913578</v>
      </c>
      <c r="L10" s="21" t="s">
        <v>34</v>
      </c>
      <c r="M10" s="21"/>
      <c r="N10" s="24"/>
    </row>
    <row r="11" spans="1:14" x14ac:dyDescent="0.4">
      <c r="A11" s="21" t="s">
        <v>11</v>
      </c>
      <c r="B11" s="21" t="s">
        <v>37</v>
      </c>
      <c r="C11" s="21">
        <v>2022</v>
      </c>
      <c r="D11" s="21">
        <v>422</v>
      </c>
      <c r="E11" s="21">
        <v>21</v>
      </c>
      <c r="F11" s="21">
        <v>543</v>
      </c>
      <c r="G11" s="21">
        <v>209</v>
      </c>
      <c r="H11" s="21">
        <v>81</v>
      </c>
      <c r="I11" s="21">
        <v>84</v>
      </c>
      <c r="J11" s="22">
        <v>124.66666666666667</v>
      </c>
      <c r="K11" s="23">
        <v>0.22958870472682627</v>
      </c>
      <c r="L11" s="21" t="s">
        <v>36</v>
      </c>
      <c r="M11" s="21"/>
      <c r="N11" s="24"/>
    </row>
    <row r="12" spans="1:14" x14ac:dyDescent="0.4">
      <c r="A12" s="21" t="s">
        <v>12</v>
      </c>
      <c r="B12" s="21" t="s">
        <v>37</v>
      </c>
      <c r="C12" s="21">
        <v>2022</v>
      </c>
      <c r="D12" s="21">
        <v>566</v>
      </c>
      <c r="E12" s="21">
        <v>25</v>
      </c>
      <c r="F12" s="21">
        <v>707</v>
      </c>
      <c r="G12" s="21">
        <v>276</v>
      </c>
      <c r="H12" s="21">
        <v>147</v>
      </c>
      <c r="I12" s="21">
        <v>155</v>
      </c>
      <c r="J12" s="22">
        <v>192.66666666666666</v>
      </c>
      <c r="K12" s="23">
        <v>0.2725129655822725</v>
      </c>
      <c r="L12" s="21" t="s">
        <v>36</v>
      </c>
      <c r="M12" s="21"/>
      <c r="N12" s="24"/>
    </row>
    <row r="13" spans="1:14" x14ac:dyDescent="0.4">
      <c r="A13" s="21" t="s">
        <v>13</v>
      </c>
      <c r="B13" s="21" t="s">
        <v>37</v>
      </c>
      <c r="C13" s="21">
        <v>2022</v>
      </c>
      <c r="D13" s="21">
        <v>414</v>
      </c>
      <c r="E13" s="21">
        <v>18</v>
      </c>
      <c r="F13" s="21">
        <v>495</v>
      </c>
      <c r="G13" s="21">
        <v>205</v>
      </c>
      <c r="H13" s="21">
        <v>111</v>
      </c>
      <c r="I13" s="21">
        <v>144</v>
      </c>
      <c r="J13" s="22">
        <v>153.33333333333334</v>
      </c>
      <c r="K13" s="23">
        <v>0.3097643097643098</v>
      </c>
      <c r="L13" s="21" t="s">
        <v>36</v>
      </c>
      <c r="M13" s="21"/>
      <c r="N13" s="24"/>
    </row>
    <row r="14" spans="1:14" x14ac:dyDescent="0.4">
      <c r="A14" s="21" t="s">
        <v>14</v>
      </c>
      <c r="B14" s="21" t="s">
        <v>37</v>
      </c>
      <c r="C14" s="21">
        <v>2022</v>
      </c>
      <c r="D14" s="21">
        <v>471</v>
      </c>
      <c r="E14" s="21">
        <v>22</v>
      </c>
      <c r="F14" s="21">
        <v>598</v>
      </c>
      <c r="G14" s="21">
        <v>235</v>
      </c>
      <c r="H14" s="21">
        <v>105</v>
      </c>
      <c r="I14" s="21">
        <v>104</v>
      </c>
      <c r="J14" s="22">
        <v>148</v>
      </c>
      <c r="K14" s="23">
        <v>0.24749163879598662</v>
      </c>
      <c r="L14" s="21" t="s">
        <v>36</v>
      </c>
      <c r="M14" s="21"/>
      <c r="N14" s="24"/>
    </row>
    <row r="15" spans="1:14" x14ac:dyDescent="0.4">
      <c r="A15" s="21" t="s">
        <v>15</v>
      </c>
      <c r="B15" s="21" t="s">
        <v>37</v>
      </c>
      <c r="C15" s="21">
        <v>2022</v>
      </c>
      <c r="D15" s="21">
        <v>486</v>
      </c>
      <c r="E15" s="21">
        <v>16</v>
      </c>
      <c r="F15" s="21">
        <v>586</v>
      </c>
      <c r="G15" s="21">
        <v>261</v>
      </c>
      <c r="H15" s="21">
        <v>138</v>
      </c>
      <c r="I15" s="21">
        <v>171</v>
      </c>
      <c r="J15" s="22">
        <v>190</v>
      </c>
      <c r="K15" s="23">
        <v>0.32423208191126279</v>
      </c>
      <c r="L15" s="21" t="s">
        <v>34</v>
      </c>
      <c r="M15" s="21"/>
      <c r="N15" s="24"/>
    </row>
    <row r="16" spans="1:14" x14ac:dyDescent="0.4">
      <c r="A16" s="21" t="s">
        <v>16</v>
      </c>
      <c r="B16" s="21" t="s">
        <v>33</v>
      </c>
      <c r="C16" s="21">
        <v>2022</v>
      </c>
      <c r="D16" s="21">
        <v>582</v>
      </c>
      <c r="E16" s="21">
        <v>21</v>
      </c>
      <c r="F16" s="21">
        <v>680</v>
      </c>
      <c r="G16" s="21">
        <v>277</v>
      </c>
      <c r="H16" s="21">
        <v>197</v>
      </c>
      <c r="I16" s="21">
        <v>198</v>
      </c>
      <c r="J16" s="22">
        <v>224</v>
      </c>
      <c r="K16" s="23">
        <v>0.32941176470588235</v>
      </c>
      <c r="L16" s="21" t="s">
        <v>34</v>
      </c>
      <c r="M16" s="21"/>
      <c r="N16" s="24"/>
    </row>
    <row r="17" spans="1:14" x14ac:dyDescent="0.4">
      <c r="A17" s="21" t="s">
        <v>17</v>
      </c>
      <c r="B17" s="21" t="s">
        <v>33</v>
      </c>
      <c r="C17" s="21">
        <v>2022</v>
      </c>
      <c r="D17" s="21">
        <v>489</v>
      </c>
      <c r="E17" s="21">
        <v>27</v>
      </c>
      <c r="F17" s="21">
        <v>586</v>
      </c>
      <c r="G17" s="21">
        <v>256</v>
      </c>
      <c r="H17" s="21">
        <v>191</v>
      </c>
      <c r="I17" s="21">
        <v>181</v>
      </c>
      <c r="J17" s="22">
        <v>209.33333333333334</v>
      </c>
      <c r="K17" s="23">
        <v>0.35722411831626849</v>
      </c>
      <c r="L17" s="21" t="s">
        <v>34</v>
      </c>
      <c r="M17" s="21"/>
      <c r="N17" s="24"/>
    </row>
    <row r="18" spans="1:14" x14ac:dyDescent="0.4">
      <c r="A18" s="21" t="s">
        <v>18</v>
      </c>
      <c r="B18" s="21" t="s">
        <v>37</v>
      </c>
      <c r="C18" s="21">
        <v>2022</v>
      </c>
      <c r="D18" s="21">
        <v>967</v>
      </c>
      <c r="E18" s="21">
        <v>81</v>
      </c>
      <c r="F18" s="21">
        <v>1348</v>
      </c>
      <c r="G18" s="21">
        <v>313</v>
      </c>
      <c r="H18" s="21">
        <v>196</v>
      </c>
      <c r="I18" s="21">
        <v>224</v>
      </c>
      <c r="J18" s="22">
        <v>244.33333333333334</v>
      </c>
      <c r="K18" s="23">
        <v>0.18125618199802176</v>
      </c>
      <c r="L18" s="21" t="s">
        <v>36</v>
      </c>
      <c r="M18" s="21"/>
      <c r="N18" s="24"/>
    </row>
    <row r="23" spans="1:14" x14ac:dyDescent="0.4">
      <c r="A23" s="21"/>
      <c r="B23" s="21"/>
      <c r="C23" s="21"/>
      <c r="D23" s="21"/>
      <c r="E23" s="21"/>
      <c r="F23" s="21"/>
      <c r="G23" s="21"/>
      <c r="H23" s="21"/>
      <c r="I23" s="21"/>
      <c r="J23" s="25" t="s">
        <v>53</v>
      </c>
      <c r="K23" s="26">
        <v>0.32423208191126279</v>
      </c>
      <c r="L23" s="21"/>
      <c r="M23" s="21"/>
      <c r="N23" s="21"/>
    </row>
    <row r="27" spans="1:14" x14ac:dyDescent="0.4">
      <c r="A27" s="28" t="s">
        <v>55</v>
      </c>
      <c r="B27" s="40"/>
      <c r="C27" s="40"/>
      <c r="D27" s="40"/>
      <c r="E27" s="40"/>
      <c r="F27" s="40"/>
      <c r="G27" s="40"/>
    </row>
    <row r="28" spans="1:14" x14ac:dyDescent="0.4">
      <c r="A28" s="41" t="s">
        <v>57</v>
      </c>
      <c r="B28" s="40"/>
      <c r="C28" s="40"/>
      <c r="D28" s="40"/>
      <c r="E28" s="40"/>
      <c r="F28" s="40"/>
      <c r="G28" s="40"/>
    </row>
    <row r="29" spans="1:14" x14ac:dyDescent="0.4">
      <c r="A29" s="40"/>
      <c r="B29" s="40"/>
      <c r="C29" s="40"/>
      <c r="D29" s="40"/>
      <c r="E29" s="40"/>
      <c r="F29" s="40"/>
      <c r="G29" s="40"/>
    </row>
    <row r="30" spans="1:14" ht="14.6" customHeight="1" x14ac:dyDescent="0.4">
      <c r="A30" s="28" t="s">
        <v>56</v>
      </c>
      <c r="B30" s="40"/>
      <c r="C30" s="40"/>
      <c r="D30" s="40"/>
      <c r="E30" s="40"/>
      <c r="F30" s="40"/>
      <c r="G30" s="40"/>
    </row>
    <row r="31" spans="1:14" x14ac:dyDescent="0.4">
      <c r="A31" s="41" t="s">
        <v>74</v>
      </c>
      <c r="B31" s="40"/>
      <c r="C31" s="40"/>
      <c r="D31" s="40"/>
      <c r="E31" s="40"/>
      <c r="F31" s="40"/>
      <c r="G31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3667-E5B9-459E-986F-111B0AC6FCDF}">
  <dimension ref="A3:B20"/>
  <sheetViews>
    <sheetView workbookViewId="0">
      <selection activeCell="C21" sqref="C21"/>
    </sheetView>
  </sheetViews>
  <sheetFormatPr defaultRowHeight="14.6" x14ac:dyDescent="0.4"/>
  <sheetData>
    <row r="3" spans="1:2" x14ac:dyDescent="0.4">
      <c r="A3" s="42" t="s">
        <v>0</v>
      </c>
      <c r="B3" s="43" t="s">
        <v>52</v>
      </c>
    </row>
    <row r="4" spans="1:2" x14ac:dyDescent="0.4">
      <c r="A4" s="29" t="s">
        <v>2</v>
      </c>
      <c r="B4" s="30">
        <v>0.37596899224806202</v>
      </c>
    </row>
    <row r="5" spans="1:2" x14ac:dyDescent="0.4">
      <c r="A5" s="29" t="s">
        <v>3</v>
      </c>
      <c r="B5" s="30">
        <v>0.35028248587570621</v>
      </c>
    </row>
    <row r="6" spans="1:2" x14ac:dyDescent="0.4">
      <c r="A6" s="29" t="s">
        <v>4</v>
      </c>
      <c r="B6" s="30">
        <v>0.32763157894736844</v>
      </c>
    </row>
    <row r="7" spans="1:2" x14ac:dyDescent="0.4">
      <c r="A7" s="29" t="s">
        <v>5</v>
      </c>
      <c r="B7" s="30">
        <v>0.34920634920634919</v>
      </c>
    </row>
    <row r="8" spans="1:2" x14ac:dyDescent="0.4">
      <c r="A8" s="29" t="s">
        <v>6</v>
      </c>
      <c r="B8" s="30">
        <v>0.28163992869875221</v>
      </c>
    </row>
    <row r="9" spans="1:2" x14ac:dyDescent="0.4">
      <c r="A9" s="29" t="s">
        <v>7</v>
      </c>
      <c r="B9" s="30">
        <v>0.27327327327327328</v>
      </c>
    </row>
    <row r="10" spans="1:2" x14ac:dyDescent="0.4">
      <c r="A10" s="29" t="s">
        <v>8</v>
      </c>
      <c r="B10" s="30">
        <v>0.37181663837011886</v>
      </c>
    </row>
    <row r="11" spans="1:2" x14ac:dyDescent="0.4">
      <c r="A11" s="29" t="s">
        <v>9</v>
      </c>
      <c r="B11" s="30">
        <v>0.30407124681933845</v>
      </c>
    </row>
    <row r="12" spans="1:2" x14ac:dyDescent="0.4">
      <c r="A12" s="29" t="s">
        <v>10</v>
      </c>
      <c r="B12" s="30">
        <v>0.34413580246913578</v>
      </c>
    </row>
    <row r="13" spans="1:2" x14ac:dyDescent="0.4">
      <c r="A13" s="29" t="s">
        <v>11</v>
      </c>
      <c r="B13" s="30">
        <v>0.22958870472682627</v>
      </c>
    </row>
    <row r="14" spans="1:2" x14ac:dyDescent="0.4">
      <c r="A14" s="29" t="s">
        <v>12</v>
      </c>
      <c r="B14" s="30">
        <v>0.2725129655822725</v>
      </c>
    </row>
    <row r="15" spans="1:2" x14ac:dyDescent="0.4">
      <c r="A15" s="29" t="s">
        <v>13</v>
      </c>
      <c r="B15" s="30">
        <v>0.3097643097643098</v>
      </c>
    </row>
    <row r="16" spans="1:2" x14ac:dyDescent="0.4">
      <c r="A16" s="29" t="s">
        <v>14</v>
      </c>
      <c r="B16" s="30">
        <v>0.24749163879598662</v>
      </c>
    </row>
    <row r="17" spans="1:2" x14ac:dyDescent="0.4">
      <c r="A17" s="29" t="s">
        <v>15</v>
      </c>
      <c r="B17" s="30">
        <v>0.32423208191126279</v>
      </c>
    </row>
    <row r="18" spans="1:2" x14ac:dyDescent="0.4">
      <c r="A18" s="29" t="s">
        <v>16</v>
      </c>
      <c r="B18" s="30">
        <v>0.32941176470588235</v>
      </c>
    </row>
    <row r="19" spans="1:2" x14ac:dyDescent="0.4">
      <c r="A19" s="29" t="s">
        <v>17</v>
      </c>
      <c r="B19" s="30">
        <v>0.35722411831626849</v>
      </c>
    </row>
    <row r="20" spans="1:2" x14ac:dyDescent="0.4">
      <c r="A20" s="29" t="s">
        <v>18</v>
      </c>
      <c r="B20" s="30">
        <v>0.18125618199802176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FD2E-61E7-4104-875B-766B0F9656D1}">
  <dimension ref="A1:E45"/>
  <sheetViews>
    <sheetView tabSelected="1" workbookViewId="0">
      <selection activeCell="A34" sqref="A34:A45"/>
    </sheetView>
  </sheetViews>
  <sheetFormatPr defaultRowHeight="14.6" x14ac:dyDescent="0.4"/>
  <sheetData>
    <row r="1" spans="1:5" ht="15.9" x14ac:dyDescent="0.45">
      <c r="A1" s="33" t="s">
        <v>42</v>
      </c>
      <c r="B1" s="33" t="s">
        <v>54</v>
      </c>
      <c r="C1" s="33" t="s">
        <v>52</v>
      </c>
      <c r="D1" s="35" t="s">
        <v>40</v>
      </c>
      <c r="E1" s="35" t="s">
        <v>41</v>
      </c>
    </row>
    <row r="2" spans="1:5" ht="15.9" x14ac:dyDescent="0.45">
      <c r="A2" s="32" t="s">
        <v>2</v>
      </c>
      <c r="B2" s="34">
        <v>175110</v>
      </c>
      <c r="C2" s="38">
        <v>0.37596899224806202</v>
      </c>
      <c r="D2" s="36">
        <v>-57295</v>
      </c>
      <c r="E2" s="39">
        <v>5.1736910336799224E-2</v>
      </c>
    </row>
    <row r="3" spans="1:5" ht="15.9" x14ac:dyDescent="0.45">
      <c r="A3" s="32" t="s">
        <v>3</v>
      </c>
      <c r="B3" s="34">
        <v>89568</v>
      </c>
      <c r="C3" s="38">
        <v>0.35028248587570621</v>
      </c>
      <c r="D3" s="36">
        <v>-142837</v>
      </c>
      <c r="E3" s="39">
        <v>2.6050403964443414E-2</v>
      </c>
    </row>
    <row r="4" spans="1:5" ht="15.9" x14ac:dyDescent="0.45">
      <c r="A4" s="32" t="s">
        <v>4</v>
      </c>
      <c r="B4" s="34">
        <v>240624</v>
      </c>
      <c r="C4" s="38">
        <v>0.32763157894736844</v>
      </c>
      <c r="D4" s="36">
        <v>8219</v>
      </c>
      <c r="E4" s="39">
        <v>3.3994970361056476E-3</v>
      </c>
    </row>
    <row r="5" spans="1:5" ht="15.9" x14ac:dyDescent="0.45">
      <c r="A5" s="32" t="s">
        <v>5</v>
      </c>
      <c r="B5" s="34">
        <v>213013</v>
      </c>
      <c r="C5" s="38">
        <v>0.34920634920634919</v>
      </c>
      <c r="D5" s="36">
        <v>-19392</v>
      </c>
      <c r="E5" s="39">
        <v>2.4974267295086394E-2</v>
      </c>
    </row>
    <row r="6" spans="1:5" ht="15.9" x14ac:dyDescent="0.45">
      <c r="A6" s="32" t="s">
        <v>6</v>
      </c>
      <c r="B6" s="34">
        <v>182793</v>
      </c>
      <c r="C6" s="38">
        <v>0.28163992869875221</v>
      </c>
      <c r="D6" s="36">
        <v>-49612</v>
      </c>
      <c r="E6" s="39">
        <v>-4.2592153212510586E-2</v>
      </c>
    </row>
    <row r="7" spans="1:5" ht="15.9" x14ac:dyDescent="0.45">
      <c r="A7" s="32" t="s">
        <v>7</v>
      </c>
      <c r="B7" s="34">
        <v>344302</v>
      </c>
      <c r="C7" s="38">
        <v>0.27327327327327328</v>
      </c>
      <c r="D7" s="36">
        <v>111897</v>
      </c>
      <c r="E7" s="39">
        <v>-5.0958808637989517E-2</v>
      </c>
    </row>
    <row r="8" spans="1:5" ht="15.9" x14ac:dyDescent="0.45">
      <c r="A8" s="32" t="s">
        <v>8</v>
      </c>
      <c r="B8" s="34">
        <v>309658</v>
      </c>
      <c r="C8" s="38">
        <v>0.37181663837011886</v>
      </c>
      <c r="D8" s="36">
        <v>77253</v>
      </c>
      <c r="E8" s="39">
        <v>4.7584556458856064E-2</v>
      </c>
    </row>
    <row r="9" spans="1:5" ht="15.9" x14ac:dyDescent="0.45">
      <c r="A9" s="32" t="s">
        <v>9</v>
      </c>
      <c r="B9" s="34">
        <v>264126</v>
      </c>
      <c r="C9" s="38">
        <v>0.30407124681933845</v>
      </c>
      <c r="D9" s="36">
        <v>31721</v>
      </c>
      <c r="E9" s="39">
        <v>-2.0160835091924345E-2</v>
      </c>
    </row>
    <row r="10" spans="1:5" ht="15.9" x14ac:dyDescent="0.45">
      <c r="A10" s="32" t="s">
        <v>10</v>
      </c>
      <c r="B10" s="34">
        <v>250171</v>
      </c>
      <c r="C10" s="38">
        <v>0.34413580246913578</v>
      </c>
      <c r="D10" s="36">
        <v>17766</v>
      </c>
      <c r="E10" s="39">
        <v>1.9903720557872984E-2</v>
      </c>
    </row>
    <row r="11" spans="1:5" ht="15.9" x14ac:dyDescent="0.45">
      <c r="A11" s="32" t="s">
        <v>11</v>
      </c>
      <c r="B11" s="34">
        <v>263420</v>
      </c>
      <c r="C11" s="38">
        <v>0.22958870472682627</v>
      </c>
      <c r="D11" s="36">
        <v>31015</v>
      </c>
      <c r="E11" s="39">
        <v>-9.4643377184436522E-2</v>
      </c>
    </row>
    <row r="12" spans="1:5" ht="15.9" x14ac:dyDescent="0.45">
      <c r="A12" s="32" t="s">
        <v>12</v>
      </c>
      <c r="B12" s="34">
        <v>232405</v>
      </c>
      <c r="C12" s="38">
        <v>0.2725129655822725</v>
      </c>
      <c r="D12" s="36">
        <v>0</v>
      </c>
      <c r="E12" s="39">
        <v>-5.1719116328990289E-2</v>
      </c>
    </row>
    <row r="13" spans="1:5" ht="15.9" x14ac:dyDescent="0.45">
      <c r="A13" s="32" t="s">
        <v>13</v>
      </c>
      <c r="B13" s="34">
        <v>254118</v>
      </c>
      <c r="C13" s="38">
        <v>0.3097643097643098</v>
      </c>
      <c r="D13" s="36">
        <v>21713</v>
      </c>
      <c r="E13" s="39">
        <v>-1.4467772146952995E-2</v>
      </c>
    </row>
    <row r="14" spans="1:5" ht="15.9" x14ac:dyDescent="0.45">
      <c r="A14" s="32" t="s">
        <v>14</v>
      </c>
      <c r="B14" s="34">
        <v>218298</v>
      </c>
      <c r="C14" s="38">
        <v>0.24749163879598662</v>
      </c>
      <c r="D14" s="36">
        <v>-14107</v>
      </c>
      <c r="E14" s="39">
        <v>-7.6740443115276169E-2</v>
      </c>
    </row>
    <row r="15" spans="1:5" ht="15.9" x14ac:dyDescent="0.45">
      <c r="A15" s="32" t="s">
        <v>15</v>
      </c>
      <c r="B15" s="34">
        <v>179619</v>
      </c>
      <c r="C15" s="38">
        <v>0.32423208191126279</v>
      </c>
      <c r="D15" s="36">
        <v>-52786</v>
      </c>
      <c r="E15" s="39">
        <v>0</v>
      </c>
    </row>
    <row r="16" spans="1:5" ht="15.9" x14ac:dyDescent="0.45">
      <c r="A16" s="32" t="s">
        <v>16</v>
      </c>
      <c r="B16" s="34">
        <v>191373</v>
      </c>
      <c r="C16" s="38">
        <v>0.32941176470588235</v>
      </c>
      <c r="D16" s="36">
        <v>-41032</v>
      </c>
      <c r="E16" s="39">
        <v>5.1796827946195556E-3</v>
      </c>
    </row>
    <row r="17" spans="1:5" ht="15.9" x14ac:dyDescent="0.45">
      <c r="A17" s="32" t="s">
        <v>17</v>
      </c>
      <c r="B17" s="34">
        <v>50108</v>
      </c>
      <c r="C17" s="38">
        <v>0.35722411831626849</v>
      </c>
      <c r="D17" s="36">
        <v>-182297</v>
      </c>
      <c r="E17" s="39">
        <v>3.2992036405005698E-2</v>
      </c>
    </row>
    <row r="18" spans="1:5" ht="15.9" x14ac:dyDescent="0.45">
      <c r="A18" s="32" t="s">
        <v>18</v>
      </c>
      <c r="B18" s="34">
        <v>339445</v>
      </c>
      <c r="C18" s="38">
        <v>0.18125618199802176</v>
      </c>
      <c r="D18" s="36">
        <v>107040</v>
      </c>
      <c r="E18" s="39">
        <v>-0.14297589991324103</v>
      </c>
    </row>
    <row r="20" spans="1:5" x14ac:dyDescent="0.4">
      <c r="A20" s="31"/>
      <c r="B20" s="31"/>
      <c r="C20" s="37"/>
      <c r="D20" s="31"/>
      <c r="E20" s="31"/>
    </row>
    <row r="34" spans="1:1" x14ac:dyDescent="0.4">
      <c r="A34" s="28" t="s">
        <v>55</v>
      </c>
    </row>
    <row r="35" spans="1:1" x14ac:dyDescent="0.4">
      <c r="A35" s="41" t="s">
        <v>59</v>
      </c>
    </row>
    <row r="36" spans="1:1" x14ac:dyDescent="0.4">
      <c r="A36" s="41" t="s">
        <v>58</v>
      </c>
    </row>
    <row r="37" spans="1:1" x14ac:dyDescent="0.4">
      <c r="A37" s="41" t="s">
        <v>61</v>
      </c>
    </row>
    <row r="38" spans="1:1" x14ac:dyDescent="0.4">
      <c r="A38" s="41" t="s">
        <v>60</v>
      </c>
    </row>
    <row r="39" spans="1:1" x14ac:dyDescent="0.4">
      <c r="A39" s="40"/>
    </row>
    <row r="40" spans="1:1" ht="25.75" x14ac:dyDescent="0.4">
      <c r="A40" s="28" t="s">
        <v>56</v>
      </c>
    </row>
    <row r="41" spans="1:1" x14ac:dyDescent="0.4">
      <c r="A41" s="41" t="s">
        <v>62</v>
      </c>
    </row>
    <row r="42" spans="1:1" x14ac:dyDescent="0.4">
      <c r="A42" s="41" t="s">
        <v>63</v>
      </c>
    </row>
    <row r="43" spans="1:1" x14ac:dyDescent="0.4">
      <c r="A43" s="41" t="s">
        <v>64</v>
      </c>
    </row>
    <row r="44" spans="1:1" x14ac:dyDescent="0.4">
      <c r="A44" s="41" t="s">
        <v>65</v>
      </c>
    </row>
    <row r="45" spans="1:1" x14ac:dyDescent="0.4">
      <c r="A45" s="41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Immunization 2022 </vt:lpstr>
      <vt:lpstr>Analysis-Immunization 2022</vt:lpstr>
      <vt:lpstr>Chart Immunization 2022</vt:lpstr>
      <vt:lpstr>Matrix-Immunization 2022</vt:lpstr>
      <vt:lpstr>Raw Data-Prenatal 2022</vt:lpstr>
      <vt:lpstr>Analysis-Prenatal 2022</vt:lpstr>
      <vt:lpstr>Chart-Prenatal 2022</vt:lpstr>
      <vt:lpstr>Matrix-Prenatal2022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MARICAR LARA</dc:creator>
  <cp:lastModifiedBy>MARICAR LARA</cp:lastModifiedBy>
  <dcterms:created xsi:type="dcterms:W3CDTF">2025-11-18T07:37:21Z</dcterms:created>
  <dcterms:modified xsi:type="dcterms:W3CDTF">2025-11-18T08:39:08Z</dcterms:modified>
</cp:coreProperties>
</file>