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riancorsado/Downloads/"/>
    </mc:Choice>
  </mc:AlternateContent>
  <xr:revisionPtr revIDLastSave="0" documentId="13_ncr:1_{1D239A6A-CCB7-0E4A-A7C9-58DF5DCD3552}" xr6:coauthVersionLast="47" xr6:coauthVersionMax="47" xr10:uidLastSave="{00000000-0000-0000-0000-000000000000}"/>
  <bookViews>
    <workbookView xWindow="0" yWindow="760" windowWidth="29400" windowHeight="16940" activeTab="4" xr2:uid="{00000000-000D-0000-FFFF-FFFF00000000}"/>
  </bookViews>
  <sheets>
    <sheet name="Raw Data_4Ps Beneficiaries" sheetId="1" r:id="rId1"/>
    <sheet name="Analysis_4Ps Beneficiaries" sheetId="24" r:id="rId2"/>
    <sheet name="Raw Data_Enrollment Rate" sheetId="25" r:id="rId3"/>
    <sheet name="Analysis_Enrollment Rate" sheetId="23" r:id="rId4"/>
    <sheet name="Matrix Chart" sheetId="21" r:id="rId5"/>
  </sheets>
  <definedNames>
    <definedName name="_xlnm._FilterDatabase" localSheetId="3" hidden="1">'Analysis_Enrollment Rate'!$A$1:$F$18</definedName>
    <definedName name="_xlnm._FilterDatabase" localSheetId="0" hidden="1">'Raw Data_4Ps Beneficiaries'!$A$1:$F$265</definedName>
    <definedName name="_xlnm._FilterDatabase" localSheetId="2" hidden="1">'Raw Data_Enrollment Rate'!$A$1:$E$18</definedName>
  </definedNames>
  <calcPr calcId="191029"/>
  <pivotCaches>
    <pivotCache cacheId="4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3" l="1"/>
  <c r="C17" i="21" s="1"/>
  <c r="F13" i="23"/>
  <c r="C16" i="21" s="1"/>
  <c r="F12" i="23"/>
  <c r="C10" i="21" s="1"/>
  <c r="F10" i="23"/>
  <c r="C12" i="21" s="1"/>
  <c r="F9" i="23"/>
  <c r="C2" i="21" s="1"/>
  <c r="F7" i="23"/>
  <c r="C8" i="21" s="1"/>
  <c r="F3" i="23"/>
  <c r="C4" i="21" s="1"/>
  <c r="F2" i="23"/>
  <c r="C5" i="21" s="1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6" i="24"/>
  <c r="D2" i="21"/>
  <c r="F18" i="23"/>
  <c r="C18" i="21" s="1"/>
  <c r="F16" i="23"/>
  <c r="C11" i="21" s="1"/>
  <c r="F15" i="23"/>
  <c r="C14" i="21" s="1"/>
  <c r="F14" i="23"/>
  <c r="C13" i="21" s="1"/>
  <c r="F11" i="23"/>
  <c r="C15" i="21" s="1"/>
  <c r="F8" i="23"/>
  <c r="C9" i="21" s="1"/>
  <c r="F6" i="23"/>
  <c r="C3" i="21" s="1"/>
  <c r="F5" i="23"/>
  <c r="C7" i="21" s="1"/>
  <c r="F4" i="23"/>
  <c r="C6" i="21" s="1"/>
  <c r="E2" i="21" l="1"/>
  <c r="E15" i="21"/>
  <c r="E13" i="21"/>
  <c r="E4" i="21"/>
  <c r="E11" i="21"/>
  <c r="E17" i="21"/>
  <c r="E8" i="21"/>
  <c r="E3" i="21"/>
  <c r="E12" i="21"/>
  <c r="E16" i="21"/>
  <c r="E6" i="21"/>
  <c r="E5" i="21"/>
  <c r="E9" i="21"/>
  <c r="E10" i="21"/>
  <c r="E18" i="21"/>
  <c r="E7" i="21"/>
  <c r="E14" i="21"/>
  <c r="D17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8" i="21"/>
</calcChain>
</file>

<file path=xl/sharedStrings.xml><?xml version="1.0" encoding="utf-8"?>
<sst xmlns="http://schemas.openxmlformats.org/spreadsheetml/2006/main" count="1180" uniqueCount="67">
  <si>
    <t>Region</t>
  </si>
  <si>
    <t>Age</t>
  </si>
  <si>
    <t>Total</t>
  </si>
  <si>
    <t>Island</t>
  </si>
  <si>
    <t>Quarter</t>
  </si>
  <si>
    <t>Year</t>
  </si>
  <si>
    <t>NCR</t>
  </si>
  <si>
    <t>0-2</t>
  </si>
  <si>
    <t>Luzon</t>
  </si>
  <si>
    <t>Q1</t>
  </si>
  <si>
    <t>BARMM</t>
  </si>
  <si>
    <t>3-5</t>
  </si>
  <si>
    <t>CAR</t>
  </si>
  <si>
    <t>6-14</t>
  </si>
  <si>
    <t>I</t>
  </si>
  <si>
    <t>15-18</t>
  </si>
  <si>
    <t>II</t>
  </si>
  <si>
    <t>III</t>
  </si>
  <si>
    <t>IV-A</t>
  </si>
  <si>
    <t>IX</t>
  </si>
  <si>
    <t>MIMAROPA</t>
  </si>
  <si>
    <t>V</t>
  </si>
  <si>
    <t>VI</t>
  </si>
  <si>
    <t>VII</t>
  </si>
  <si>
    <t>VIII</t>
  </si>
  <si>
    <t>X</t>
  </si>
  <si>
    <t>XI</t>
  </si>
  <si>
    <t>XII</t>
  </si>
  <si>
    <t>XIII</t>
  </si>
  <si>
    <t>Grand Total</t>
  </si>
  <si>
    <t>Visayas</t>
  </si>
  <si>
    <t>Mindanao</t>
  </si>
  <si>
    <t>Q2</t>
  </si>
  <si>
    <t>Q3</t>
  </si>
  <si>
    <t>Q4</t>
  </si>
  <si>
    <t>IV-B</t>
  </si>
  <si>
    <t>JHS</t>
  </si>
  <si>
    <t>SHS</t>
  </si>
  <si>
    <t>Adjusted X</t>
  </si>
  <si>
    <t>Adjusted Y</t>
  </si>
  <si>
    <t>Enrollment Rate</t>
  </si>
  <si>
    <t>KINDER</t>
  </si>
  <si>
    <t>ELEM</t>
  </si>
  <si>
    <t>Average</t>
  </si>
  <si>
    <t>Row Labels</t>
  </si>
  <si>
    <t>Column Labels</t>
  </si>
  <si>
    <t>Sum of Total</t>
  </si>
  <si>
    <t>(Multiple Items)</t>
  </si>
  <si>
    <t>Median Value</t>
  </si>
  <si>
    <t>Note(s):</t>
  </si>
  <si>
    <t>Average is calculated to account the enrollment rate of all K to 12 students.</t>
  </si>
  <si>
    <t>Most regions fall within the 70-80% range, while BARMM falls behind at around 43%.</t>
  </si>
  <si>
    <t>4Ps Children Beneficiaries Count per Quarter: Median Value is used to account for all quarters.</t>
  </si>
  <si>
    <t>4Ps Beneficiaries 2020</t>
  </si>
  <si>
    <t>4Ps Beneficiaries</t>
  </si>
  <si>
    <t>Median is calculated to reduce the influence of extreme values and gives a fair midpoint valuefor all regions.</t>
  </si>
  <si>
    <t>Adjusted X and Adjusted Y is calculated by subtracting the median from each region’s value to shift the axes, and so that the center becomes (0,0).</t>
  </si>
  <si>
    <t>X-axis: 4Ps Beneficiaries (median value) for the year 2020 to match the same year of the available enrollment rate data.</t>
  </si>
  <si>
    <t>Y-axis: Enrollment Rate 2020</t>
  </si>
  <si>
    <t>Insight(s):</t>
  </si>
  <si>
    <t>Regions in Q4 have high 4Ps investment, but it is not translating into enrollment. BARMM is the most critical region to look into.</t>
  </si>
  <si>
    <t>Quadrant 1 - upper right (high 4Ps beneficiaries and high enrollment rate)</t>
  </si>
  <si>
    <t>Quadrant 2 - upper left (low 4Ps beneficiaries and high enrollment rate)</t>
  </si>
  <si>
    <t>Quadrant 3 - lower left (low 4Ps beneficiaries and low enrollment rate)</t>
  </si>
  <si>
    <t>Quadrant 4 - lower right (high 4Ps beneficiaries and low enrollment rate)</t>
  </si>
  <si>
    <t>The enrollment rate per region is plotted in a bar chart, arranged in descending order to clearly visualize the trend.</t>
  </si>
  <si>
    <t>Region XIII has missing reports on Q2 and Q3.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</si>
</sst>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1" fillId="0" borderId="0" xfId="0" applyFont="1"/>
    <xf numFmtId="0" fontId="4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2" borderId="0" xfId="0" applyFont="1" applyFill="1"/>
    <xf numFmtId="165" fontId="0" fillId="0" borderId="0" xfId="1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0" fillId="0" borderId="0" xfId="0" applyFill="1"/>
    <xf numFmtId="0" fontId="1" fillId="0" borderId="0" xfId="0" applyFont="1" applyFill="1"/>
    <xf numFmtId="165" fontId="1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17FB7"/>
      <color rgb="FF4C8DFF"/>
      <color rgb="FF407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ysClr val="windowText" lastClr="000000"/>
                </a:solidFill>
              </a:rPr>
              <a:t>K-12 Enrollment Rate SY</a:t>
            </a:r>
            <a:r>
              <a:rPr lang="en-US" sz="2200" baseline="0">
                <a:solidFill>
                  <a:sysClr val="windowText" lastClr="000000"/>
                </a:solidFill>
              </a:rPr>
              <a:t> 2019-2020</a:t>
            </a:r>
            <a:endParaRPr lang="en-US" sz="2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'Analysis_Enrollment Rate'!$F$1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84-FC47-AAFB-A1831CDBAF2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84-FC47-AAFB-A1831CDBAF28}"/>
              </c:ext>
            </c:extLst>
          </c:dPt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84-FC47-AAFB-A1831CDBA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'Analysis_Enrollment Rate'!$A$2:$A$18</c:f>
              <c:strCache>
                <c:ptCount val="17"/>
                <c:pt idx="0">
                  <c:v>III</c:v>
                </c:pt>
                <c:pt idx="1">
                  <c:v>IV-A</c:v>
                </c:pt>
                <c:pt idx="2">
                  <c:v>II</c:v>
                </c:pt>
                <c:pt idx="3">
                  <c:v>VII</c:v>
                </c:pt>
                <c:pt idx="4">
                  <c:v>NCR</c:v>
                </c:pt>
                <c:pt idx="5">
                  <c:v>I</c:v>
                </c:pt>
                <c:pt idx="6">
                  <c:v>VI</c:v>
                </c:pt>
                <c:pt idx="7">
                  <c:v>CAR</c:v>
                </c:pt>
                <c:pt idx="8">
                  <c:v>X</c:v>
                </c:pt>
                <c:pt idx="9">
                  <c:v>XIII</c:v>
                </c:pt>
                <c:pt idx="10">
                  <c:v>XI</c:v>
                </c:pt>
                <c:pt idx="11">
                  <c:v>V</c:v>
                </c:pt>
                <c:pt idx="12">
                  <c:v>IV-B</c:v>
                </c:pt>
                <c:pt idx="13">
                  <c:v>VIII</c:v>
                </c:pt>
                <c:pt idx="14">
                  <c:v>XII</c:v>
                </c:pt>
                <c:pt idx="15">
                  <c:v>IX</c:v>
                </c:pt>
                <c:pt idx="16">
                  <c:v>BARMM</c:v>
                </c:pt>
              </c:strCache>
            </c:strRef>
          </c:cat>
          <c:val>
            <c:numRef>
              <c:f>'Analysis_Enrollment Rate'!$F$2:$F$18</c:f>
              <c:numCache>
                <c:formatCode>0.0%</c:formatCode>
                <c:ptCount val="17"/>
                <c:pt idx="0">
                  <c:v>0.78194999999999992</c:v>
                </c:pt>
                <c:pt idx="1">
                  <c:v>0.76560000000000006</c:v>
                </c:pt>
                <c:pt idx="2">
                  <c:v>0.76222499999999993</c:v>
                </c:pt>
                <c:pt idx="3">
                  <c:v>0.75974999999999993</c:v>
                </c:pt>
                <c:pt idx="4">
                  <c:v>0.74759999999999993</c:v>
                </c:pt>
                <c:pt idx="5">
                  <c:v>0.74620000000000009</c:v>
                </c:pt>
                <c:pt idx="6">
                  <c:v>0.73492500000000005</c:v>
                </c:pt>
                <c:pt idx="7">
                  <c:v>0.72252499999999997</c:v>
                </c:pt>
                <c:pt idx="8">
                  <c:v>0.71847499999999997</c:v>
                </c:pt>
                <c:pt idx="9">
                  <c:v>0.70530000000000004</c:v>
                </c:pt>
                <c:pt idx="10">
                  <c:v>0.70322499999999988</c:v>
                </c:pt>
                <c:pt idx="11">
                  <c:v>0.70209999999999995</c:v>
                </c:pt>
                <c:pt idx="12">
                  <c:v>0.689975</c:v>
                </c:pt>
                <c:pt idx="13">
                  <c:v>0.68869999999999987</c:v>
                </c:pt>
                <c:pt idx="14">
                  <c:v>0.67497499999999988</c:v>
                </c:pt>
                <c:pt idx="15">
                  <c:v>0.66402500000000009</c:v>
                </c:pt>
                <c:pt idx="16">
                  <c:v>0.43057499999999999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4-FC47-AAFB-A1831CDB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9027216"/>
        <c:axId val="619029856"/>
      </c:barChart>
      <c:catAx>
        <c:axId val="6190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856"/>
        <c:crosses val="autoZero"/>
        <c:auto val="1"/>
        <c:lblAlgn val="ctr"/>
        <c:lblOffset val="100"/>
        <c:noMultiLvlLbl val="0"/>
      </c:catAx>
      <c:valAx>
        <c:axId val="619029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'Matrix Chart'!$E$1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1FB-8A4F-A8DB-9DFB5F68D613}"/>
              </c:ext>
            </c:extLst>
          </c:dPt>
          <c:dPt>
            <c:idx val="1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1FB-8A4F-A8DB-9DFB5F68D613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1FB-8A4F-A8DB-9DFB5F68D613}"/>
              </c:ext>
            </c:extLst>
          </c:dPt>
          <c:dLbls>
            <c:dLbl>
              <c:idx val="0"/>
              <c:layout>
                <c:manualLayout>
                  <c:x val="-4.2257461691911781E-2"/>
                  <c:y val="-2.494400123913741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0A7F5F-AFBC-4440-AD6C-B94AF63FC2A6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22398495056818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1FB-8A4F-A8DB-9DFB5F68D613}"/>
                </c:ext>
              </c:extLst>
            </c:dLbl>
            <c:dLbl>
              <c:idx val="1"/>
              <c:layout>
                <c:manualLayout>
                  <c:x val="-6.519555947013625E-2"/>
                  <c:y val="-1.783188398666683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1BA06E1-3F87-0743-B2BE-EB2F88934DC1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55743177325016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1FB-8A4F-A8DB-9DFB5F68D613}"/>
                </c:ext>
              </c:extLst>
            </c:dLbl>
            <c:dLbl>
              <c:idx val="2"/>
              <c:layout>
                <c:manualLayout>
                  <c:x val="-1.9996454769481285E-2"/>
                  <c:y val="-2.250322090254372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B14765-3FC6-1C44-A993-F265B1E0D07F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1FB-8A4F-A8DB-9DFB5F68D613}"/>
                </c:ext>
              </c:extLst>
            </c:dLbl>
            <c:dLbl>
              <c:idx val="3"/>
              <c:layout>
                <c:manualLayout>
                  <c:x val="-2.4857484511904532E-2"/>
                  <c:y val="-2.345771730067909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53D9A6-7589-FE41-BFC7-9E8D8E2E8E88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47075312043382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1FB-8A4F-A8DB-9DFB5F68D613}"/>
                </c:ext>
              </c:extLst>
            </c:dLbl>
            <c:dLbl>
              <c:idx val="4"/>
              <c:layout>
                <c:manualLayout>
                  <c:x val="-2.4999582763689899E-2"/>
                  <c:y val="-1.538782719569955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24301A-4927-5843-842E-F769092F584F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26731043964796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1FB-8A4F-A8DB-9DFB5F68D613}"/>
                </c:ext>
              </c:extLst>
            </c:dLbl>
            <c:dLbl>
              <c:idx val="5"/>
              <c:layout>
                <c:manualLayout>
                  <c:x val="-3.0567829684439857E-2"/>
                  <c:y val="1.7231033043686964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CFD6DE-D29C-5747-9296-6523E53718BD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1FB-8A4F-A8DB-9DFB5F68D613}"/>
                </c:ext>
              </c:extLst>
            </c:dLbl>
            <c:dLbl>
              <c:idx val="6"/>
              <c:layout>
                <c:manualLayout>
                  <c:x val="-8.1437445677924963E-2"/>
                  <c:y val="-1.067069136650078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F106598-B4A9-D042-BF28-CFC54775DDC7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063867758862112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1FB-8A4F-A8DB-9DFB5F68D613}"/>
                </c:ext>
              </c:extLst>
            </c:dLbl>
            <c:dLbl>
              <c:idx val="7"/>
              <c:layout>
                <c:manualLayout>
                  <c:x val="-1.6166806916696114E-2"/>
                  <c:y val="-6.269690238733226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EF0E0C-D4AC-0142-9364-EABF627D3095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1FB-8A4F-A8DB-9DFB5F68D613}"/>
                </c:ext>
              </c:extLst>
            </c:dLbl>
            <c:dLbl>
              <c:idx val="8"/>
              <c:layout>
                <c:manualLayout>
                  <c:x val="-4.2702092899763573E-2"/>
                  <c:y val="3.652064209000602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2AC7CB-B094-AD41-BF4F-234E133EDC54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1FB-8A4F-A8DB-9DFB5F68D613}"/>
                </c:ext>
              </c:extLst>
            </c:dLbl>
            <c:dLbl>
              <c:idx val="9"/>
              <c:layout>
                <c:manualLayout>
                  <c:x val="-5.2747389088464013E-2"/>
                  <c:y val="6.715909745708244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04B5C95-1AE5-B14F-BFEE-B387DCC364F8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1FB-8A4F-A8DB-9DFB5F68D613}"/>
                </c:ext>
              </c:extLst>
            </c:dLbl>
            <c:dLbl>
              <c:idx val="10"/>
              <c:layout>
                <c:manualLayout>
                  <c:x val="1.258378369818388E-3"/>
                  <c:y val="-4.390754518158036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B69F3A7-079A-FE45-BB91-162615CE489F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1FB-8A4F-A8DB-9DFB5F68D613}"/>
                </c:ext>
              </c:extLst>
            </c:dLbl>
            <c:dLbl>
              <c:idx val="11"/>
              <c:layout>
                <c:manualLayout>
                  <c:x val="-8.909743240277751E-2"/>
                  <c:y val="0.1121482821898256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009B96F-3EF6-CE47-A788-2C7B70707254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1FB-8A4F-A8DB-9DFB5F68D613}"/>
                </c:ext>
              </c:extLst>
            </c:dLbl>
            <c:dLbl>
              <c:idx val="12"/>
              <c:layout>
                <c:manualLayout>
                  <c:x val="-1.7028974612573355E-2"/>
                  <c:y val="8.4759611768758149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C09453-4058-CB45-9170-029BB8E1D7E3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1FB-8A4F-A8DB-9DFB5F68D613}"/>
                </c:ext>
              </c:extLst>
            </c:dLbl>
            <c:dLbl>
              <c:idx val="13"/>
              <c:layout>
                <c:manualLayout>
                  <c:x val="-6.564929866198424E-2"/>
                  <c:y val="3.426246245743154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F9EAFD-8D41-654D-9A98-A1A62B8D688E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1FB-8A4F-A8DB-9DFB5F68D613}"/>
                </c:ext>
              </c:extLst>
            </c:dLbl>
            <c:dLbl>
              <c:idx val="14"/>
              <c:layout>
                <c:manualLayout>
                  <c:x val="-2.5349623415394186E-2"/>
                  <c:y val="4.061217704653820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9B0757-24A6-524F-9543-11CB6C4E945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1FB-8A4F-A8DB-9DFB5F68D613}"/>
                </c:ext>
              </c:extLst>
            </c:dLbl>
            <c:dLbl>
              <c:idx val="15"/>
              <c:layout>
                <c:manualLayout>
                  <c:x val="-3.9767945619868593E-2"/>
                  <c:y val="3.836180486533106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44FD38-E47E-CC46-BCF6-A85BF67971A9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1FB-8A4F-A8DB-9DFB5F68D613}"/>
                </c:ext>
              </c:extLst>
            </c:dLbl>
            <c:dLbl>
              <c:idx val="16"/>
              <c:layout>
                <c:manualLayout>
                  <c:x val="-6.4573907751758947E-2"/>
                  <c:y val="-1.56428121365971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7977663993853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1FB-8A4F-A8DB-9DFB5F68D613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2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'Matrix Chart'!$D$2:$D$18</c:f>
              <c:numCache>
                <c:formatCode>0</c:formatCode>
                <c:ptCount val="17"/>
                <c:pt idx="0">
                  <c:v>-335379</c:v>
                </c:pt>
                <c:pt idx="1">
                  <c:v>-43666</c:v>
                </c:pt>
                <c:pt idx="2">
                  <c:v>163782.5</c:v>
                </c:pt>
                <c:pt idx="3">
                  <c:v>89690</c:v>
                </c:pt>
                <c:pt idx="4">
                  <c:v>-250639.5</c:v>
                </c:pt>
                <c:pt idx="5">
                  <c:v>98052</c:v>
                </c:pt>
                <c:pt idx="6">
                  <c:v>-60771.5</c:v>
                </c:pt>
                <c:pt idx="7">
                  <c:v>182249</c:v>
                </c:pt>
                <c:pt idx="8">
                  <c:v>-38023.5</c:v>
                </c:pt>
                <c:pt idx="9">
                  <c:v>-40765.5</c:v>
                </c:pt>
                <c:pt idx="10">
                  <c:v>0</c:v>
                </c:pt>
                <c:pt idx="11">
                  <c:v>-90803.5</c:v>
                </c:pt>
                <c:pt idx="12">
                  <c:v>62234</c:v>
                </c:pt>
                <c:pt idx="13">
                  <c:v>-120246.5</c:v>
                </c:pt>
                <c:pt idx="14">
                  <c:v>284155</c:v>
                </c:pt>
                <c:pt idx="15">
                  <c:v>48509.5</c:v>
                </c:pt>
                <c:pt idx="16">
                  <c:v>252176</c:v>
                </c:pt>
              </c:numCache>
            </c:numRef>
          </c:xVal>
          <c:yVal>
            <c:numRef>
              <c:f>'Matrix Chart'!$E$2:$E$18</c:f>
              <c:numCache>
                <c:formatCode>0%</c:formatCode>
                <c:ptCount val="17"/>
                <c:pt idx="0">
                  <c:v>4.049999999999998E-3</c:v>
                </c:pt>
                <c:pt idx="1">
                  <c:v>2.9124999999999956E-2</c:v>
                </c:pt>
                <c:pt idx="2">
                  <c:v>4.7125000000000083E-2</c:v>
                </c:pt>
                <c:pt idx="3">
                  <c:v>6.3474999999999948E-2</c:v>
                </c:pt>
                <c:pt idx="4">
                  <c:v>4.3749999999999956E-2</c:v>
                </c:pt>
                <c:pt idx="5">
                  <c:v>4.1274999999999951E-2</c:v>
                </c:pt>
                <c:pt idx="6">
                  <c:v>2.7725000000000111E-2</c:v>
                </c:pt>
                <c:pt idx="7">
                  <c:v>1.6450000000000076E-2</c:v>
                </c:pt>
                <c:pt idx="8">
                  <c:v>-1.5250000000000097E-2</c:v>
                </c:pt>
                <c:pt idx="9">
                  <c:v>-4.3500000000000094E-2</c:v>
                </c:pt>
                <c:pt idx="10">
                  <c:v>0</c:v>
                </c:pt>
                <c:pt idx="11">
                  <c:v>-2.849999999999997E-2</c:v>
                </c:pt>
                <c:pt idx="12">
                  <c:v>-2.9775000000000107E-2</c:v>
                </c:pt>
                <c:pt idx="13">
                  <c:v>-1.3174999999999937E-2</c:v>
                </c:pt>
                <c:pt idx="14">
                  <c:v>-1.6375000000000028E-2</c:v>
                </c:pt>
                <c:pt idx="15">
                  <c:v>-5.4449999999999887E-2</c:v>
                </c:pt>
                <c:pt idx="16">
                  <c:v>-0.28789999999999999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'Matrix Chart'!$A$2:$A$18</c15:f>
                <c15:dlblRangeCache>
                  <c:ptCount val="17"/>
                  <c:pt idx="0">
                    <c:v>CAR</c:v>
                  </c:pt>
                  <c:pt idx="1">
                    <c:v>NCR</c:v>
                  </c:pt>
                  <c:pt idx="2">
                    <c:v>IV-A</c:v>
                  </c:pt>
                  <c:pt idx="3">
                    <c:v>III</c:v>
                  </c:pt>
                  <c:pt idx="4">
                    <c:v>II</c:v>
                  </c:pt>
                  <c:pt idx="5">
                    <c:v>VII</c:v>
                  </c:pt>
                  <c:pt idx="6">
                    <c:v>I</c:v>
                  </c:pt>
                  <c:pt idx="7">
                    <c:v>VI</c:v>
                  </c:pt>
                  <c:pt idx="8">
                    <c:v>XI</c:v>
                  </c:pt>
                  <c:pt idx="9">
                    <c:v>XII</c:v>
                  </c:pt>
                  <c:pt idx="10">
                    <c:v>X</c:v>
                  </c:pt>
                  <c:pt idx="11">
                    <c:v>IV-B</c:v>
                  </c:pt>
                  <c:pt idx="12">
                    <c:v>VIII</c:v>
                  </c:pt>
                  <c:pt idx="13">
                    <c:v>XIII</c:v>
                  </c:pt>
                  <c:pt idx="14">
                    <c:v>V</c:v>
                  </c:pt>
                  <c:pt idx="15">
                    <c:v>IX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1FB-8A4F-A8DB-9DFB5F68D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774700</xdr:colOff>
      <xdr:row>1</xdr:row>
      <xdr:rowOff>50800</xdr:rowOff>
    </xdr:from>
    <xdr:to>
      <xdr:col>21</xdr:col>
      <xdr:colOff>419100</xdr:colOff>
      <xdr:row>36</xdr:row>
      <xdr:rowOff>150093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6CD3A-4DE3-504A-BB8D-17BCEF418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412751</xdr:colOff>
      <xdr:row>4</xdr:row>
      <xdr:rowOff>31751</xdr:rowOff>
    </xdr:from>
    <xdr:to>
      <xdr:col>16</xdr:col>
      <xdr:colOff>771188</xdr:colOff>
      <xdr:row>33</xdr:row>
      <xdr:rowOff>95386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51941-3522-8086-8D3B-08AEA725C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Corsado" refreshedDate="45978.659640509257" createdVersion="8" refreshedVersion="8" minRefreshableVersion="3" recordCount="265" xr:uid="{AF9B323C-D7F5-3440-8204-1360511C2E50}">
  <cacheSource type="worksheet">
    <worksheetSource ref="A1:F1048576" sheet="Raw Data_4Ps Beneficiaries"/>
  </cacheSource>
  <cacheFields count="6">
    <cacheField name="Region" numFmtId="0">
      <sharedItems containsBlank="1" count="18">
        <s v="NCR"/>
        <s v="CAR"/>
        <s v="I"/>
        <s v="II"/>
        <s v="III"/>
        <s v="IV-A"/>
        <s v="MIMAROPA"/>
        <s v="V"/>
        <s v="VI"/>
        <s v="VII"/>
        <s v="VIII"/>
        <s v="IX"/>
        <s v="X"/>
        <s v="XI"/>
        <s v="XII"/>
        <s v="XIII"/>
        <s v="BARMM"/>
        <m/>
      </sharedItems>
    </cacheField>
    <cacheField name="Age" numFmtId="0">
      <sharedItems containsBlank="1" count="5">
        <s v="0-2"/>
        <s v="3-5"/>
        <s v="6-14"/>
        <s v="15-18"/>
        <m/>
      </sharedItems>
    </cacheField>
    <cacheField name="Total" numFmtId="0">
      <sharedItems containsString="0" containsBlank="1" containsNumber="1" containsInteger="1" minValue="498" maxValue="390854"/>
    </cacheField>
    <cacheField name="Island" numFmtId="0">
      <sharedItems containsBlank="1"/>
    </cacheField>
    <cacheField name="Quarter" numFmtId="0">
      <sharedItems containsBlank="1" count="5">
        <s v="Q1"/>
        <s v="Q2"/>
        <s v="Q3"/>
        <s v="Q4"/>
        <m/>
      </sharedItems>
    </cacheField>
    <cacheField name="Year" numFmtId="0">
      <sharedItems containsString="0" containsBlank="1" containsNumber="1" containsInteger="1" minValue="2020" maxValue="2020" count="2">
        <n v="202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x v="0"/>
    <n v="2616"/>
    <s v="Luzon"/>
    <x v="0"/>
    <x v="0"/>
  </r>
  <r>
    <x v="0"/>
    <x v="1"/>
    <n v="7713"/>
    <s v="Luzon"/>
    <x v="0"/>
    <x v="0"/>
  </r>
  <r>
    <x v="0"/>
    <x v="2"/>
    <n v="216848"/>
    <s v="Luzon"/>
    <x v="0"/>
    <x v="0"/>
  </r>
  <r>
    <x v="0"/>
    <x v="3"/>
    <n v="170234"/>
    <s v="Luzon"/>
    <x v="0"/>
    <x v="0"/>
  </r>
  <r>
    <x v="1"/>
    <x v="0"/>
    <n v="1531"/>
    <s v="Luzon"/>
    <x v="0"/>
    <x v="0"/>
  </r>
  <r>
    <x v="1"/>
    <x v="1"/>
    <n v="4721"/>
    <s v="Luzon"/>
    <x v="0"/>
    <x v="0"/>
  </r>
  <r>
    <x v="1"/>
    <x v="2"/>
    <n v="53543"/>
    <s v="Luzon"/>
    <x v="0"/>
    <x v="0"/>
  </r>
  <r>
    <x v="1"/>
    <x v="3"/>
    <n v="50005"/>
    <s v="Luzon"/>
    <x v="0"/>
    <x v="0"/>
  </r>
  <r>
    <x v="2"/>
    <x v="0"/>
    <n v="5484"/>
    <s v="Luzon"/>
    <x v="0"/>
    <x v="0"/>
  </r>
  <r>
    <x v="2"/>
    <x v="1"/>
    <n v="18833"/>
    <s v="Luzon"/>
    <x v="0"/>
    <x v="0"/>
  </r>
  <r>
    <x v="2"/>
    <x v="2"/>
    <n v="209712"/>
    <s v="Luzon"/>
    <x v="0"/>
    <x v="0"/>
  </r>
  <r>
    <x v="2"/>
    <x v="3"/>
    <n v="156833"/>
    <s v="Luzon"/>
    <x v="0"/>
    <x v="0"/>
  </r>
  <r>
    <x v="3"/>
    <x v="0"/>
    <n v="2029"/>
    <s v="Luzon"/>
    <x v="0"/>
    <x v="0"/>
  </r>
  <r>
    <x v="3"/>
    <x v="1"/>
    <n v="7106"/>
    <s v="Luzon"/>
    <x v="0"/>
    <x v="0"/>
  </r>
  <r>
    <x v="3"/>
    <x v="2"/>
    <n v="103150"/>
    <s v="Luzon"/>
    <x v="0"/>
    <x v="0"/>
  </r>
  <r>
    <x v="3"/>
    <x v="3"/>
    <n v="80161"/>
    <s v="Luzon"/>
    <x v="0"/>
    <x v="0"/>
  </r>
  <r>
    <x v="4"/>
    <x v="0"/>
    <n v="2969"/>
    <s v="Luzon"/>
    <x v="0"/>
    <x v="0"/>
  </r>
  <r>
    <x v="4"/>
    <x v="1"/>
    <n v="11921"/>
    <s v="Luzon"/>
    <x v="0"/>
    <x v="0"/>
  </r>
  <r>
    <x v="4"/>
    <x v="2"/>
    <n v="294622"/>
    <s v="Luzon"/>
    <x v="0"/>
    <x v="0"/>
  </r>
  <r>
    <x v="4"/>
    <x v="3"/>
    <n v="226244"/>
    <s v="Luzon"/>
    <x v="0"/>
    <x v="0"/>
  </r>
  <r>
    <x v="5"/>
    <x v="0"/>
    <n v="6029"/>
    <s v="Luzon"/>
    <x v="0"/>
    <x v="0"/>
  </r>
  <r>
    <x v="5"/>
    <x v="1"/>
    <n v="19467"/>
    <s v="Luzon"/>
    <x v="0"/>
    <x v="0"/>
  </r>
  <r>
    <x v="5"/>
    <x v="2"/>
    <n v="326299"/>
    <s v="Luzon"/>
    <x v="0"/>
    <x v="0"/>
  </r>
  <r>
    <x v="5"/>
    <x v="3"/>
    <n v="256287"/>
    <s v="Luzon"/>
    <x v="0"/>
    <x v="0"/>
  </r>
  <r>
    <x v="6"/>
    <x v="0"/>
    <n v="5734"/>
    <s v="Luzon"/>
    <x v="0"/>
    <x v="0"/>
  </r>
  <r>
    <x v="6"/>
    <x v="1"/>
    <n v="19927"/>
    <s v="Luzon"/>
    <x v="0"/>
    <x v="0"/>
  </r>
  <r>
    <x v="6"/>
    <x v="2"/>
    <n v="181815"/>
    <s v="Luzon"/>
    <x v="0"/>
    <x v="0"/>
  </r>
  <r>
    <x v="6"/>
    <x v="3"/>
    <n v="151680"/>
    <s v="Luzon"/>
    <x v="0"/>
    <x v="0"/>
  </r>
  <r>
    <x v="7"/>
    <x v="0"/>
    <n v="4945"/>
    <s v="Luzon"/>
    <x v="0"/>
    <x v="0"/>
  </r>
  <r>
    <x v="7"/>
    <x v="1"/>
    <n v="16623"/>
    <s v="Luzon"/>
    <x v="0"/>
    <x v="0"/>
  </r>
  <r>
    <x v="7"/>
    <x v="2"/>
    <n v="375497"/>
    <s v="Luzon"/>
    <x v="0"/>
    <x v="0"/>
  </r>
  <r>
    <x v="7"/>
    <x v="3"/>
    <n v="330983"/>
    <s v="Luzon"/>
    <x v="0"/>
    <x v="0"/>
  </r>
  <r>
    <x v="8"/>
    <x v="0"/>
    <n v="7622"/>
    <s v="Visayas"/>
    <x v="0"/>
    <x v="0"/>
  </r>
  <r>
    <x v="8"/>
    <x v="1"/>
    <n v="21727"/>
    <s v="Visayas"/>
    <x v="0"/>
    <x v="0"/>
  </r>
  <r>
    <x v="8"/>
    <x v="2"/>
    <n v="334834"/>
    <s v="Visayas"/>
    <x v="0"/>
    <x v="0"/>
  </r>
  <r>
    <x v="8"/>
    <x v="3"/>
    <n v="273922"/>
    <s v="Visayas"/>
    <x v="0"/>
    <x v="0"/>
  </r>
  <r>
    <x v="9"/>
    <x v="0"/>
    <n v="4253"/>
    <s v="Visayas"/>
    <x v="0"/>
    <x v="0"/>
  </r>
  <r>
    <x v="9"/>
    <x v="1"/>
    <n v="19965"/>
    <s v="Visayas"/>
    <x v="0"/>
    <x v="0"/>
  </r>
  <r>
    <x v="9"/>
    <x v="2"/>
    <n v="290644"/>
    <s v="Visayas"/>
    <x v="0"/>
    <x v="0"/>
  </r>
  <r>
    <x v="9"/>
    <x v="3"/>
    <n v="231755"/>
    <s v="Visayas"/>
    <x v="0"/>
    <x v="0"/>
  </r>
  <r>
    <x v="10"/>
    <x v="0"/>
    <n v="3677"/>
    <s v="Visayas"/>
    <x v="0"/>
    <x v="0"/>
  </r>
  <r>
    <x v="10"/>
    <x v="1"/>
    <n v="15972"/>
    <s v="Visayas"/>
    <x v="0"/>
    <x v="0"/>
  </r>
  <r>
    <x v="10"/>
    <x v="2"/>
    <n v="268345"/>
    <s v="Visayas"/>
    <x v="0"/>
    <x v="0"/>
  </r>
  <r>
    <x v="10"/>
    <x v="3"/>
    <n v="230993"/>
    <s v="Visayas"/>
    <x v="0"/>
    <x v="0"/>
  </r>
  <r>
    <x v="11"/>
    <x v="0"/>
    <n v="4612"/>
    <s v="Mindanao"/>
    <x v="0"/>
    <x v="0"/>
  </r>
  <r>
    <x v="11"/>
    <x v="1"/>
    <n v="17775"/>
    <s v="Mindanao"/>
    <x v="0"/>
    <x v="0"/>
  </r>
  <r>
    <x v="11"/>
    <x v="2"/>
    <n v="273579"/>
    <s v="Mindanao"/>
    <x v="0"/>
    <x v="0"/>
  </r>
  <r>
    <x v="11"/>
    <x v="3"/>
    <n v="204088"/>
    <s v="Mindanao"/>
    <x v="0"/>
    <x v="0"/>
  </r>
  <r>
    <x v="12"/>
    <x v="0"/>
    <n v="1775"/>
    <s v="Mindanao"/>
    <x v="0"/>
    <x v="0"/>
  </r>
  <r>
    <x v="12"/>
    <x v="1"/>
    <n v="10237"/>
    <s v="Mindanao"/>
    <x v="0"/>
    <x v="0"/>
  </r>
  <r>
    <x v="12"/>
    <x v="2"/>
    <n v="233224"/>
    <s v="Mindanao"/>
    <x v="0"/>
    <x v="0"/>
  </r>
  <r>
    <x v="12"/>
    <x v="3"/>
    <n v="207896"/>
    <s v="Mindanao"/>
    <x v="0"/>
    <x v="0"/>
  </r>
  <r>
    <x v="13"/>
    <x v="0"/>
    <n v="2255"/>
    <s v="Mindanao"/>
    <x v="0"/>
    <x v="0"/>
  </r>
  <r>
    <x v="13"/>
    <x v="1"/>
    <n v="11587"/>
    <s v="Mindanao"/>
    <x v="0"/>
    <x v="0"/>
  </r>
  <r>
    <x v="13"/>
    <x v="2"/>
    <n v="224130"/>
    <s v="Mindanao"/>
    <x v="0"/>
    <x v="0"/>
  </r>
  <r>
    <x v="13"/>
    <x v="3"/>
    <n v="173609"/>
    <s v="Mindanao"/>
    <x v="0"/>
    <x v="0"/>
  </r>
  <r>
    <x v="14"/>
    <x v="0"/>
    <n v="864"/>
    <s v="Mindanao"/>
    <x v="0"/>
    <x v="0"/>
  </r>
  <r>
    <x v="14"/>
    <x v="1"/>
    <n v="5914"/>
    <s v="Mindanao"/>
    <x v="0"/>
    <x v="0"/>
  </r>
  <r>
    <x v="14"/>
    <x v="2"/>
    <n v="209224"/>
    <s v="Mindanao"/>
    <x v="0"/>
    <x v="0"/>
  </r>
  <r>
    <x v="14"/>
    <x v="3"/>
    <n v="192431"/>
    <s v="Mindanao"/>
    <x v="0"/>
    <x v="0"/>
  </r>
  <r>
    <x v="15"/>
    <x v="0"/>
    <n v="4373"/>
    <s v="Mindanao"/>
    <x v="0"/>
    <x v="0"/>
  </r>
  <r>
    <x v="15"/>
    <x v="1"/>
    <n v="14960"/>
    <s v="Mindanao"/>
    <x v="0"/>
    <x v="0"/>
  </r>
  <r>
    <x v="15"/>
    <x v="2"/>
    <n v="172807"/>
    <s v="Mindanao"/>
    <x v="0"/>
    <x v="0"/>
  </r>
  <r>
    <x v="15"/>
    <x v="3"/>
    <n v="137479"/>
    <s v="Mindanao"/>
    <x v="0"/>
    <x v="0"/>
  </r>
  <r>
    <x v="16"/>
    <x v="0"/>
    <n v="580"/>
    <s v="Mindanao"/>
    <x v="0"/>
    <x v="0"/>
  </r>
  <r>
    <x v="16"/>
    <x v="1"/>
    <n v="2127"/>
    <s v="Mindanao"/>
    <x v="0"/>
    <x v="0"/>
  </r>
  <r>
    <x v="16"/>
    <x v="2"/>
    <n v="347321"/>
    <s v="Mindanao"/>
    <x v="0"/>
    <x v="0"/>
  </r>
  <r>
    <x v="16"/>
    <x v="3"/>
    <n v="356822"/>
    <s v="Mindanao"/>
    <x v="0"/>
    <x v="0"/>
  </r>
  <r>
    <x v="0"/>
    <x v="0"/>
    <n v="2928"/>
    <s v="Luzon"/>
    <x v="1"/>
    <x v="0"/>
  </r>
  <r>
    <x v="0"/>
    <x v="1"/>
    <n v="9280"/>
    <s v="Luzon"/>
    <x v="1"/>
    <x v="0"/>
  </r>
  <r>
    <x v="0"/>
    <x v="2"/>
    <n v="219619"/>
    <s v="Luzon"/>
    <x v="1"/>
    <x v="0"/>
  </r>
  <r>
    <x v="0"/>
    <x v="3"/>
    <n v="176675"/>
    <s v="Luzon"/>
    <x v="1"/>
    <x v="0"/>
  </r>
  <r>
    <x v="1"/>
    <x v="0"/>
    <n v="1497"/>
    <s v="Luzon"/>
    <x v="1"/>
    <x v="0"/>
  </r>
  <r>
    <x v="1"/>
    <x v="1"/>
    <n v="4761"/>
    <s v="Luzon"/>
    <x v="1"/>
    <x v="0"/>
  </r>
  <r>
    <x v="1"/>
    <x v="2"/>
    <n v="51644"/>
    <s v="Luzon"/>
    <x v="1"/>
    <x v="0"/>
  </r>
  <r>
    <x v="1"/>
    <x v="3"/>
    <n v="50366"/>
    <s v="Luzon"/>
    <x v="1"/>
    <x v="0"/>
  </r>
  <r>
    <x v="2"/>
    <x v="0"/>
    <n v="5157"/>
    <s v="Luzon"/>
    <x v="1"/>
    <x v="0"/>
  </r>
  <r>
    <x v="2"/>
    <x v="1"/>
    <n v="17769"/>
    <s v="Luzon"/>
    <x v="1"/>
    <x v="0"/>
  </r>
  <r>
    <x v="2"/>
    <x v="2"/>
    <n v="204041"/>
    <s v="Luzon"/>
    <x v="1"/>
    <x v="0"/>
  </r>
  <r>
    <x v="2"/>
    <x v="3"/>
    <n v="158129"/>
    <s v="Luzon"/>
    <x v="1"/>
    <x v="0"/>
  </r>
  <r>
    <x v="3"/>
    <x v="0"/>
    <n v="2044"/>
    <s v="Luzon"/>
    <x v="1"/>
    <x v="0"/>
  </r>
  <r>
    <x v="3"/>
    <x v="1"/>
    <n v="7392"/>
    <s v="Luzon"/>
    <x v="1"/>
    <x v="0"/>
  </r>
  <r>
    <x v="3"/>
    <x v="2"/>
    <n v="103424"/>
    <s v="Luzon"/>
    <x v="1"/>
    <x v="0"/>
  </r>
  <r>
    <x v="3"/>
    <x v="3"/>
    <n v="82213"/>
    <s v="Luzon"/>
    <x v="1"/>
    <x v="0"/>
  </r>
  <r>
    <x v="4"/>
    <x v="0"/>
    <n v="3008"/>
    <s v="Luzon"/>
    <x v="1"/>
    <x v="0"/>
  </r>
  <r>
    <x v="4"/>
    <x v="1"/>
    <n v="12536"/>
    <s v="Luzon"/>
    <x v="1"/>
    <x v="0"/>
  </r>
  <r>
    <x v="4"/>
    <x v="2"/>
    <n v="293239"/>
    <s v="Luzon"/>
    <x v="1"/>
    <x v="0"/>
  </r>
  <r>
    <x v="4"/>
    <x v="3"/>
    <n v="232788"/>
    <s v="Luzon"/>
    <x v="1"/>
    <x v="0"/>
  </r>
  <r>
    <x v="5"/>
    <x v="0"/>
    <n v="5857"/>
    <s v="Luzon"/>
    <x v="1"/>
    <x v="0"/>
  </r>
  <r>
    <x v="5"/>
    <x v="1"/>
    <n v="20458"/>
    <s v="Luzon"/>
    <x v="1"/>
    <x v="0"/>
  </r>
  <r>
    <x v="5"/>
    <x v="2"/>
    <n v="326071"/>
    <s v="Luzon"/>
    <x v="1"/>
    <x v="0"/>
  </r>
  <r>
    <x v="5"/>
    <x v="3"/>
    <n v="263667"/>
    <s v="Luzon"/>
    <x v="1"/>
    <x v="0"/>
  </r>
  <r>
    <x v="6"/>
    <x v="0"/>
    <n v="5282"/>
    <s v="Luzon"/>
    <x v="1"/>
    <x v="0"/>
  </r>
  <r>
    <x v="6"/>
    <x v="1"/>
    <n v="18882"/>
    <s v="Luzon"/>
    <x v="1"/>
    <x v="0"/>
  </r>
  <r>
    <x v="6"/>
    <x v="2"/>
    <n v="176019"/>
    <s v="Luzon"/>
    <x v="1"/>
    <x v="0"/>
  </r>
  <r>
    <x v="6"/>
    <x v="3"/>
    <n v="153386"/>
    <s v="Luzon"/>
    <x v="1"/>
    <x v="0"/>
  </r>
  <r>
    <x v="7"/>
    <x v="0"/>
    <n v="5583"/>
    <s v="Luzon"/>
    <x v="1"/>
    <x v="0"/>
  </r>
  <r>
    <x v="7"/>
    <x v="1"/>
    <n v="18481"/>
    <s v="Luzon"/>
    <x v="1"/>
    <x v="0"/>
  </r>
  <r>
    <x v="7"/>
    <x v="2"/>
    <n v="372776"/>
    <s v="Luzon"/>
    <x v="1"/>
    <x v="0"/>
  </r>
  <r>
    <x v="7"/>
    <x v="3"/>
    <n v="336908"/>
    <s v="Luzon"/>
    <x v="1"/>
    <x v="0"/>
  </r>
  <r>
    <x v="8"/>
    <x v="0"/>
    <n v="7054"/>
    <s v="Visayas"/>
    <x v="1"/>
    <x v="0"/>
  </r>
  <r>
    <x v="8"/>
    <x v="1"/>
    <n v="21454"/>
    <s v="Visayas"/>
    <x v="1"/>
    <x v="0"/>
  </r>
  <r>
    <x v="8"/>
    <x v="2"/>
    <n v="326340"/>
    <s v="Visayas"/>
    <x v="1"/>
    <x v="0"/>
  </r>
  <r>
    <x v="8"/>
    <x v="3"/>
    <n v="277071"/>
    <s v="Visayas"/>
    <x v="1"/>
    <x v="0"/>
  </r>
  <r>
    <x v="9"/>
    <x v="0"/>
    <n v="4250"/>
    <s v="Visayas"/>
    <x v="1"/>
    <x v="0"/>
  </r>
  <r>
    <x v="9"/>
    <x v="1"/>
    <n v="19654"/>
    <s v="Visayas"/>
    <x v="1"/>
    <x v="0"/>
  </r>
  <r>
    <x v="9"/>
    <x v="2"/>
    <n v="287170"/>
    <s v="Visayas"/>
    <x v="1"/>
    <x v="0"/>
  </r>
  <r>
    <x v="9"/>
    <x v="3"/>
    <n v="237001"/>
    <s v="Visayas"/>
    <x v="1"/>
    <x v="0"/>
  </r>
  <r>
    <x v="10"/>
    <x v="0"/>
    <n v="3546"/>
    <s v="Visayas"/>
    <x v="1"/>
    <x v="0"/>
  </r>
  <r>
    <x v="10"/>
    <x v="1"/>
    <n v="15029"/>
    <s v="Visayas"/>
    <x v="1"/>
    <x v="0"/>
  </r>
  <r>
    <x v="10"/>
    <x v="2"/>
    <n v="258423"/>
    <s v="Visayas"/>
    <x v="1"/>
    <x v="0"/>
  </r>
  <r>
    <x v="10"/>
    <x v="3"/>
    <n v="234264"/>
    <s v="Visayas"/>
    <x v="1"/>
    <x v="0"/>
  </r>
  <r>
    <x v="11"/>
    <x v="0"/>
    <n v="4971"/>
    <s v="Mindanao"/>
    <x v="1"/>
    <x v="0"/>
  </r>
  <r>
    <x v="11"/>
    <x v="1"/>
    <n v="17645"/>
    <s v="Mindanao"/>
    <x v="1"/>
    <x v="0"/>
  </r>
  <r>
    <x v="11"/>
    <x v="2"/>
    <n v="266270"/>
    <s v="Mindanao"/>
    <x v="1"/>
    <x v="0"/>
  </r>
  <r>
    <x v="11"/>
    <x v="3"/>
    <n v="207083"/>
    <s v="Mindanao"/>
    <x v="1"/>
    <x v="0"/>
  </r>
  <r>
    <x v="12"/>
    <x v="0"/>
    <n v="1770"/>
    <s v="Mindanao"/>
    <x v="1"/>
    <x v="0"/>
  </r>
  <r>
    <x v="12"/>
    <x v="1"/>
    <n v="9611"/>
    <s v="Mindanao"/>
    <x v="1"/>
    <x v="0"/>
  </r>
  <r>
    <x v="12"/>
    <x v="2"/>
    <n v="225941"/>
    <s v="Mindanao"/>
    <x v="1"/>
    <x v="0"/>
  </r>
  <r>
    <x v="12"/>
    <x v="3"/>
    <n v="210695"/>
    <s v="Mindanao"/>
    <x v="1"/>
    <x v="0"/>
  </r>
  <r>
    <x v="13"/>
    <x v="0"/>
    <n v="2172"/>
    <s v="Mindanao"/>
    <x v="1"/>
    <x v="0"/>
  </r>
  <r>
    <x v="13"/>
    <x v="1"/>
    <n v="10958"/>
    <s v="Mindanao"/>
    <x v="1"/>
    <x v="0"/>
  </r>
  <r>
    <x v="13"/>
    <x v="2"/>
    <n v="218680"/>
    <s v="Mindanao"/>
    <x v="1"/>
    <x v="0"/>
  </r>
  <r>
    <x v="13"/>
    <x v="3"/>
    <n v="177367"/>
    <s v="Mindanao"/>
    <x v="1"/>
    <x v="0"/>
  </r>
  <r>
    <x v="14"/>
    <x v="0"/>
    <n v="996"/>
    <s v="Mindanao"/>
    <x v="1"/>
    <x v="0"/>
  </r>
  <r>
    <x v="14"/>
    <x v="1"/>
    <n v="10143"/>
    <s v="Mindanao"/>
    <x v="1"/>
    <x v="0"/>
  </r>
  <r>
    <x v="14"/>
    <x v="2"/>
    <n v="204955"/>
    <s v="Mindanao"/>
    <x v="1"/>
    <x v="0"/>
  </r>
  <r>
    <x v="14"/>
    <x v="3"/>
    <n v="195624"/>
    <s v="Mindanao"/>
    <x v="1"/>
    <x v="0"/>
  </r>
  <r>
    <x v="16"/>
    <x v="0"/>
    <n v="559"/>
    <s v="Mindanao"/>
    <x v="1"/>
    <x v="0"/>
  </r>
  <r>
    <x v="16"/>
    <x v="1"/>
    <n v="2013"/>
    <s v="Mindanao"/>
    <x v="1"/>
    <x v="0"/>
  </r>
  <r>
    <x v="16"/>
    <x v="2"/>
    <n v="326467"/>
    <s v="Mindanao"/>
    <x v="1"/>
    <x v="0"/>
  </r>
  <r>
    <x v="16"/>
    <x v="3"/>
    <n v="355781"/>
    <s v="Mindanao"/>
    <x v="1"/>
    <x v="0"/>
  </r>
  <r>
    <x v="0"/>
    <x v="0"/>
    <n v="2525"/>
    <s v="Luzon"/>
    <x v="2"/>
    <x v="0"/>
  </r>
  <r>
    <x v="0"/>
    <x v="1"/>
    <n v="8820"/>
    <s v="Luzon"/>
    <x v="2"/>
    <x v="0"/>
  </r>
  <r>
    <x v="0"/>
    <x v="2"/>
    <n v="209781"/>
    <s v="Luzon"/>
    <x v="2"/>
    <x v="0"/>
  </r>
  <r>
    <x v="0"/>
    <x v="3"/>
    <n v="179263"/>
    <s v="Luzon"/>
    <x v="2"/>
    <x v="0"/>
  </r>
  <r>
    <x v="1"/>
    <x v="0"/>
    <n v="1388"/>
    <s v="Luzon"/>
    <x v="2"/>
    <x v="0"/>
  </r>
  <r>
    <x v="1"/>
    <x v="1"/>
    <n v="4579"/>
    <s v="Luzon"/>
    <x v="2"/>
    <x v="0"/>
  </r>
  <r>
    <x v="1"/>
    <x v="2"/>
    <n v="49437"/>
    <s v="Luzon"/>
    <x v="2"/>
    <x v="0"/>
  </r>
  <r>
    <x v="1"/>
    <x v="3"/>
    <n v="50702"/>
    <s v="Luzon"/>
    <x v="2"/>
    <x v="0"/>
  </r>
  <r>
    <x v="2"/>
    <x v="0"/>
    <n v="4808"/>
    <s v="Luzon"/>
    <x v="2"/>
    <x v="0"/>
  </r>
  <r>
    <x v="2"/>
    <x v="1"/>
    <n v="16715"/>
    <s v="Luzon"/>
    <x v="2"/>
    <x v="0"/>
  </r>
  <r>
    <x v="2"/>
    <x v="2"/>
    <n v="196612"/>
    <s v="Luzon"/>
    <x v="2"/>
    <x v="0"/>
  </r>
  <r>
    <x v="2"/>
    <x v="3"/>
    <n v="160358"/>
    <s v="Luzon"/>
    <x v="2"/>
    <x v="0"/>
  </r>
  <r>
    <x v="3"/>
    <x v="0"/>
    <n v="1789"/>
    <s v="Luzon"/>
    <x v="2"/>
    <x v="0"/>
  </r>
  <r>
    <x v="3"/>
    <x v="1"/>
    <n v="6958"/>
    <s v="Luzon"/>
    <x v="2"/>
    <x v="0"/>
  </r>
  <r>
    <x v="3"/>
    <x v="2"/>
    <n v="99057"/>
    <s v="Luzon"/>
    <x v="2"/>
    <x v="0"/>
  </r>
  <r>
    <x v="3"/>
    <x v="3"/>
    <n v="83603"/>
    <s v="Luzon"/>
    <x v="2"/>
    <x v="0"/>
  </r>
  <r>
    <x v="4"/>
    <x v="0"/>
    <n v="2696"/>
    <s v="Luzon"/>
    <x v="2"/>
    <x v="0"/>
  </r>
  <r>
    <x v="4"/>
    <x v="1"/>
    <n v="11309"/>
    <s v="Luzon"/>
    <x v="2"/>
    <x v="0"/>
  </r>
  <r>
    <x v="4"/>
    <x v="2"/>
    <n v="279116"/>
    <s v="Luzon"/>
    <x v="2"/>
    <x v="0"/>
  </r>
  <r>
    <x v="4"/>
    <x v="3"/>
    <n v="235635"/>
    <s v="Luzon"/>
    <x v="2"/>
    <x v="0"/>
  </r>
  <r>
    <x v="5"/>
    <x v="0"/>
    <n v="5005"/>
    <s v="Luzon"/>
    <x v="2"/>
    <x v="0"/>
  </r>
  <r>
    <x v="5"/>
    <x v="1"/>
    <n v="19327"/>
    <s v="Luzon"/>
    <x v="2"/>
    <x v="0"/>
  </r>
  <r>
    <x v="5"/>
    <x v="2"/>
    <n v="312673"/>
    <s v="Luzon"/>
    <x v="2"/>
    <x v="0"/>
  </r>
  <r>
    <x v="5"/>
    <x v="3"/>
    <n v="267610"/>
    <s v="Luzon"/>
    <x v="2"/>
    <x v="0"/>
  </r>
  <r>
    <x v="6"/>
    <x v="0"/>
    <n v="4977"/>
    <s v="Luzon"/>
    <x v="2"/>
    <x v="0"/>
  </r>
  <r>
    <x v="6"/>
    <x v="1"/>
    <n v="18305"/>
    <s v="Luzon"/>
    <x v="2"/>
    <x v="0"/>
  </r>
  <r>
    <x v="6"/>
    <x v="2"/>
    <n v="172066"/>
    <s v="Luzon"/>
    <x v="2"/>
    <x v="0"/>
  </r>
  <r>
    <x v="6"/>
    <x v="3"/>
    <n v="154608"/>
    <s v="Luzon"/>
    <x v="2"/>
    <x v="0"/>
  </r>
  <r>
    <x v="7"/>
    <x v="0"/>
    <n v="5295"/>
    <s v="Luzon"/>
    <x v="2"/>
    <x v="0"/>
  </r>
  <r>
    <x v="7"/>
    <x v="1"/>
    <n v="18245"/>
    <s v="Luzon"/>
    <x v="2"/>
    <x v="0"/>
  </r>
  <r>
    <x v="7"/>
    <x v="2"/>
    <n v="360610"/>
    <s v="Luzon"/>
    <x v="2"/>
    <x v="0"/>
  </r>
  <r>
    <x v="7"/>
    <x v="3"/>
    <n v="341244"/>
    <s v="Luzon"/>
    <x v="2"/>
    <x v="0"/>
  </r>
  <r>
    <x v="8"/>
    <x v="0"/>
    <n v="6047"/>
    <s v="Visayas"/>
    <x v="2"/>
    <x v="0"/>
  </r>
  <r>
    <x v="8"/>
    <x v="1"/>
    <n v="20239"/>
    <s v="Visayas"/>
    <x v="2"/>
    <x v="0"/>
  </r>
  <r>
    <x v="8"/>
    <x v="2"/>
    <n v="312630"/>
    <s v="Visayas"/>
    <x v="2"/>
    <x v="0"/>
  </r>
  <r>
    <x v="8"/>
    <x v="3"/>
    <n v="278795"/>
    <s v="Visayas"/>
    <x v="2"/>
    <x v="0"/>
  </r>
  <r>
    <x v="9"/>
    <x v="0"/>
    <n v="3510"/>
    <s v="Visayas"/>
    <x v="2"/>
    <x v="0"/>
  </r>
  <r>
    <x v="9"/>
    <x v="1"/>
    <n v="17628"/>
    <s v="Visayas"/>
    <x v="2"/>
    <x v="0"/>
  </r>
  <r>
    <x v="9"/>
    <x v="2"/>
    <n v="274540"/>
    <s v="Visayas"/>
    <x v="2"/>
    <x v="0"/>
  </r>
  <r>
    <x v="9"/>
    <x v="3"/>
    <n v="238941"/>
    <s v="Visayas"/>
    <x v="2"/>
    <x v="0"/>
  </r>
  <r>
    <x v="10"/>
    <x v="0"/>
    <n v="3128"/>
    <s v="Visayas"/>
    <x v="2"/>
    <x v="0"/>
  </r>
  <r>
    <x v="10"/>
    <x v="1"/>
    <n v="13622"/>
    <s v="Visayas"/>
    <x v="2"/>
    <x v="0"/>
  </r>
  <r>
    <x v="10"/>
    <x v="2"/>
    <n v="245401"/>
    <s v="Visayas"/>
    <x v="2"/>
    <x v="0"/>
  </r>
  <r>
    <x v="10"/>
    <x v="3"/>
    <n v="236187"/>
    <s v="Visayas"/>
    <x v="2"/>
    <x v="0"/>
  </r>
  <r>
    <x v="11"/>
    <x v="0"/>
    <n v="4485"/>
    <s v="Mindanao"/>
    <x v="2"/>
    <x v="0"/>
  </r>
  <r>
    <x v="11"/>
    <x v="1"/>
    <n v="16991"/>
    <s v="Mindanao"/>
    <x v="2"/>
    <x v="0"/>
  </r>
  <r>
    <x v="11"/>
    <x v="2"/>
    <n v="255390"/>
    <s v="Mindanao"/>
    <x v="2"/>
    <x v="0"/>
  </r>
  <r>
    <x v="11"/>
    <x v="3"/>
    <n v="209316"/>
    <s v="Mindanao"/>
    <x v="2"/>
    <x v="0"/>
  </r>
  <r>
    <x v="12"/>
    <x v="0"/>
    <n v="1633"/>
    <s v="Mindanao"/>
    <x v="2"/>
    <x v="0"/>
  </r>
  <r>
    <x v="12"/>
    <x v="1"/>
    <n v="8420"/>
    <s v="Mindanao"/>
    <x v="2"/>
    <x v="0"/>
  </r>
  <r>
    <x v="12"/>
    <x v="2"/>
    <n v="213240"/>
    <s v="Mindanao"/>
    <x v="2"/>
    <x v="0"/>
  </r>
  <r>
    <x v="12"/>
    <x v="3"/>
    <n v="213822"/>
    <s v="Mindanao"/>
    <x v="2"/>
    <x v="0"/>
  </r>
  <r>
    <x v="13"/>
    <x v="0"/>
    <n v="1820"/>
    <s v="Mindanao"/>
    <x v="2"/>
    <x v="0"/>
  </r>
  <r>
    <x v="13"/>
    <x v="1"/>
    <n v="9741"/>
    <s v="Mindanao"/>
    <x v="2"/>
    <x v="0"/>
  </r>
  <r>
    <x v="13"/>
    <x v="2"/>
    <n v="208606"/>
    <s v="Mindanao"/>
    <x v="2"/>
    <x v="0"/>
  </r>
  <r>
    <x v="13"/>
    <x v="3"/>
    <n v="179741"/>
    <s v="Mindanao"/>
    <x v="2"/>
    <x v="0"/>
  </r>
  <r>
    <x v="14"/>
    <x v="0"/>
    <n v="989"/>
    <s v="Mindanao"/>
    <x v="2"/>
    <x v="0"/>
  </r>
  <r>
    <x v="14"/>
    <x v="1"/>
    <n v="5238"/>
    <s v="Mindanao"/>
    <x v="2"/>
    <x v="0"/>
  </r>
  <r>
    <x v="14"/>
    <x v="2"/>
    <n v="192692"/>
    <s v="Mindanao"/>
    <x v="2"/>
    <x v="0"/>
  </r>
  <r>
    <x v="14"/>
    <x v="3"/>
    <n v="196249"/>
    <s v="Mindanao"/>
    <x v="2"/>
    <x v="0"/>
  </r>
  <r>
    <x v="16"/>
    <x v="0"/>
    <n v="498"/>
    <s v="Mindanao"/>
    <x v="2"/>
    <x v="0"/>
  </r>
  <r>
    <x v="16"/>
    <x v="1"/>
    <n v="1966"/>
    <s v="Mindanao"/>
    <x v="2"/>
    <x v="0"/>
  </r>
  <r>
    <x v="16"/>
    <x v="2"/>
    <n v="296621"/>
    <s v="Mindanao"/>
    <x v="2"/>
    <x v="0"/>
  </r>
  <r>
    <x v="16"/>
    <x v="3"/>
    <n v="356016"/>
    <s v="Mindanao"/>
    <x v="2"/>
    <x v="0"/>
  </r>
  <r>
    <x v="0"/>
    <x v="0"/>
    <n v="2178"/>
    <s v="Luzon"/>
    <x v="3"/>
    <x v="0"/>
  </r>
  <r>
    <x v="0"/>
    <x v="1"/>
    <n v="8282"/>
    <s v="Luzon"/>
    <x v="3"/>
    <x v="0"/>
  </r>
  <r>
    <x v="0"/>
    <x v="2"/>
    <n v="199235"/>
    <s v="Luzon"/>
    <x v="3"/>
    <x v="0"/>
  </r>
  <r>
    <x v="0"/>
    <x v="3"/>
    <n v="173033"/>
    <s v="Luzon"/>
    <x v="3"/>
    <x v="0"/>
  </r>
  <r>
    <x v="1"/>
    <x v="0"/>
    <n v="1273"/>
    <s v="Luzon"/>
    <x v="3"/>
    <x v="0"/>
  </r>
  <r>
    <x v="1"/>
    <x v="1"/>
    <n v="4511"/>
    <s v="Luzon"/>
    <x v="3"/>
    <x v="0"/>
  </r>
  <r>
    <x v="1"/>
    <x v="2"/>
    <n v="47444"/>
    <s v="Luzon"/>
    <x v="3"/>
    <x v="0"/>
  </r>
  <r>
    <x v="1"/>
    <x v="3"/>
    <n v="48590"/>
    <s v="Luzon"/>
    <x v="3"/>
    <x v="0"/>
  </r>
  <r>
    <x v="2"/>
    <x v="0"/>
    <n v="5050"/>
    <s v="Luzon"/>
    <x v="3"/>
    <x v="0"/>
  </r>
  <r>
    <x v="2"/>
    <x v="1"/>
    <n v="16656"/>
    <s v="Luzon"/>
    <x v="3"/>
    <x v="0"/>
  </r>
  <r>
    <x v="2"/>
    <x v="2"/>
    <n v="196413"/>
    <s v="Luzon"/>
    <x v="3"/>
    <x v="0"/>
  </r>
  <r>
    <x v="2"/>
    <x v="3"/>
    <n v="156863"/>
    <s v="Luzon"/>
    <x v="3"/>
    <x v="0"/>
  </r>
  <r>
    <x v="3"/>
    <x v="0"/>
    <n v="1924"/>
    <s v="Luzon"/>
    <x v="3"/>
    <x v="0"/>
  </r>
  <r>
    <x v="3"/>
    <x v="1"/>
    <n v="6962"/>
    <s v="Luzon"/>
    <x v="3"/>
    <x v="0"/>
  </r>
  <r>
    <x v="3"/>
    <x v="2"/>
    <n v="98456"/>
    <s v="Luzon"/>
    <x v="3"/>
    <x v="0"/>
  </r>
  <r>
    <x v="3"/>
    <x v="3"/>
    <n v="81893"/>
    <s v="Luzon"/>
    <x v="3"/>
    <x v="0"/>
  </r>
  <r>
    <x v="4"/>
    <x v="0"/>
    <n v="3100"/>
    <s v="Luzon"/>
    <x v="3"/>
    <x v="0"/>
  </r>
  <r>
    <x v="4"/>
    <x v="1"/>
    <n v="11467"/>
    <s v="Luzon"/>
    <x v="3"/>
    <x v="0"/>
  </r>
  <r>
    <x v="4"/>
    <x v="2"/>
    <n v="274298"/>
    <s v="Luzon"/>
    <x v="3"/>
    <x v="0"/>
  </r>
  <r>
    <x v="4"/>
    <x v="3"/>
    <n v="230708"/>
    <s v="Luzon"/>
    <x v="3"/>
    <x v="0"/>
  </r>
  <r>
    <x v="5"/>
    <x v="0"/>
    <n v="4698"/>
    <s v="Luzon"/>
    <x v="3"/>
    <x v="0"/>
  </r>
  <r>
    <x v="5"/>
    <x v="1"/>
    <n v="19014"/>
    <s v="Luzon"/>
    <x v="3"/>
    <x v="0"/>
  </r>
  <r>
    <x v="5"/>
    <x v="2"/>
    <n v="305055"/>
    <s v="Luzon"/>
    <x v="3"/>
    <x v="0"/>
  </r>
  <r>
    <x v="5"/>
    <x v="3"/>
    <n v="260970"/>
    <s v="Luzon"/>
    <x v="3"/>
    <x v="0"/>
  </r>
  <r>
    <x v="6"/>
    <x v="0"/>
    <n v="4491"/>
    <s v="Luzon"/>
    <x v="3"/>
    <x v="0"/>
  </r>
  <r>
    <x v="6"/>
    <x v="1"/>
    <n v="17506"/>
    <s v="Luzon"/>
    <x v="3"/>
    <x v="0"/>
  </r>
  <r>
    <x v="6"/>
    <x v="2"/>
    <n v="168731"/>
    <s v="Luzon"/>
    <x v="3"/>
    <x v="0"/>
  </r>
  <r>
    <x v="6"/>
    <x v="3"/>
    <n v="150706"/>
    <s v="Luzon"/>
    <x v="3"/>
    <x v="0"/>
  </r>
  <r>
    <x v="7"/>
    <x v="0"/>
    <n v="5820"/>
    <s v="Luzon"/>
    <x v="3"/>
    <x v="0"/>
  </r>
  <r>
    <x v="7"/>
    <x v="1"/>
    <n v="18675"/>
    <s v="Luzon"/>
    <x v="3"/>
    <x v="0"/>
  </r>
  <r>
    <x v="7"/>
    <x v="2"/>
    <n v="352185"/>
    <s v="Luzon"/>
    <x v="3"/>
    <x v="0"/>
  </r>
  <r>
    <x v="7"/>
    <x v="3"/>
    <n v="334978"/>
    <s v="Luzon"/>
    <x v="3"/>
    <x v="0"/>
  </r>
  <r>
    <x v="8"/>
    <x v="0"/>
    <n v="6189"/>
    <s v="Visayas"/>
    <x v="3"/>
    <x v="0"/>
  </r>
  <r>
    <x v="8"/>
    <x v="1"/>
    <n v="20863"/>
    <s v="Visayas"/>
    <x v="3"/>
    <x v="0"/>
  </r>
  <r>
    <x v="8"/>
    <x v="2"/>
    <n v="305428"/>
    <s v="Visayas"/>
    <x v="3"/>
    <x v="0"/>
  </r>
  <r>
    <x v="8"/>
    <x v="3"/>
    <n v="275423"/>
    <s v="Visayas"/>
    <x v="3"/>
    <x v="0"/>
  </r>
  <r>
    <x v="9"/>
    <x v="0"/>
    <n v="3168"/>
    <s v="Visayas"/>
    <x v="3"/>
    <x v="0"/>
  </r>
  <r>
    <x v="9"/>
    <x v="1"/>
    <n v="16069"/>
    <s v="Visayas"/>
    <x v="3"/>
    <x v="0"/>
  </r>
  <r>
    <x v="9"/>
    <x v="2"/>
    <n v="265691"/>
    <s v="Visayas"/>
    <x v="3"/>
    <x v="0"/>
  </r>
  <r>
    <x v="9"/>
    <x v="3"/>
    <n v="235284"/>
    <s v="Visayas"/>
    <x v="3"/>
    <x v="0"/>
  </r>
  <r>
    <x v="10"/>
    <x v="0"/>
    <n v="3147"/>
    <s v="Visayas"/>
    <x v="3"/>
    <x v="0"/>
  </r>
  <r>
    <x v="10"/>
    <x v="1"/>
    <n v="12802"/>
    <s v="Visayas"/>
    <x v="3"/>
    <x v="0"/>
  </r>
  <r>
    <x v="10"/>
    <x v="2"/>
    <n v="237842"/>
    <s v="Visayas"/>
    <x v="3"/>
    <x v="0"/>
  </r>
  <r>
    <x v="10"/>
    <x v="3"/>
    <n v="232639"/>
    <s v="Visayas"/>
    <x v="3"/>
    <x v="0"/>
  </r>
  <r>
    <x v="11"/>
    <x v="0"/>
    <n v="4418"/>
    <s v="Mindanao"/>
    <x v="3"/>
    <x v="0"/>
  </r>
  <r>
    <x v="11"/>
    <x v="1"/>
    <n v="16575"/>
    <s v="Mindanao"/>
    <x v="3"/>
    <x v="0"/>
  </r>
  <r>
    <x v="11"/>
    <x v="2"/>
    <n v="246135"/>
    <s v="Mindanao"/>
    <x v="3"/>
    <x v="0"/>
  </r>
  <r>
    <x v="11"/>
    <x v="3"/>
    <n v="206343"/>
    <s v="Mindanao"/>
    <x v="3"/>
    <x v="0"/>
  </r>
  <r>
    <x v="12"/>
    <x v="0"/>
    <n v="1721"/>
    <s v="Mindanao"/>
    <x v="3"/>
    <x v="0"/>
  </r>
  <r>
    <x v="12"/>
    <x v="1"/>
    <n v="7251"/>
    <s v="Mindanao"/>
    <x v="3"/>
    <x v="0"/>
  </r>
  <r>
    <x v="12"/>
    <x v="2"/>
    <n v="202127"/>
    <s v="Mindanao"/>
    <x v="3"/>
    <x v="0"/>
  </r>
  <r>
    <x v="12"/>
    <x v="3"/>
    <n v="210854"/>
    <s v="Mindanao"/>
    <x v="3"/>
    <x v="0"/>
  </r>
  <r>
    <x v="13"/>
    <x v="0"/>
    <n v="1747"/>
    <s v="Mindanao"/>
    <x v="3"/>
    <x v="0"/>
  </r>
  <r>
    <x v="13"/>
    <x v="1"/>
    <n v="8843"/>
    <s v="Mindanao"/>
    <x v="3"/>
    <x v="0"/>
  </r>
  <r>
    <x v="13"/>
    <x v="2"/>
    <n v="201006"/>
    <s v="Mindanao"/>
    <x v="3"/>
    <x v="0"/>
  </r>
  <r>
    <x v="13"/>
    <x v="3"/>
    <n v="177787"/>
    <s v="Mindanao"/>
    <x v="3"/>
    <x v="0"/>
  </r>
  <r>
    <x v="14"/>
    <x v="0"/>
    <n v="1101"/>
    <s v="Mindanao"/>
    <x v="3"/>
    <x v="0"/>
  </r>
  <r>
    <x v="14"/>
    <x v="1"/>
    <n v="4730"/>
    <s v="Mindanao"/>
    <x v="3"/>
    <x v="0"/>
  </r>
  <r>
    <x v="14"/>
    <x v="2"/>
    <n v="155255"/>
    <s v="Mindanao"/>
    <x v="3"/>
    <x v="0"/>
  </r>
  <r>
    <x v="14"/>
    <x v="3"/>
    <n v="155629"/>
    <s v="Mindanao"/>
    <x v="3"/>
    <x v="0"/>
  </r>
  <r>
    <x v="15"/>
    <x v="0"/>
    <n v="3378"/>
    <s v="Mindanao"/>
    <x v="3"/>
    <x v="0"/>
  </r>
  <r>
    <x v="15"/>
    <x v="1"/>
    <n v="12597"/>
    <s v="Mindanao"/>
    <x v="3"/>
    <x v="0"/>
  </r>
  <r>
    <x v="15"/>
    <x v="2"/>
    <n v="160217"/>
    <s v="Mindanao"/>
    <x v="3"/>
    <x v="0"/>
  </r>
  <r>
    <x v="15"/>
    <x v="3"/>
    <n v="138828"/>
    <s v="Mindanao"/>
    <x v="3"/>
    <x v="0"/>
  </r>
  <r>
    <x v="16"/>
    <x v="0"/>
    <n v="550"/>
    <s v="Mindanao"/>
    <x v="3"/>
    <x v="0"/>
  </r>
  <r>
    <x v="16"/>
    <x v="1"/>
    <n v="2310"/>
    <s v="Mindanao"/>
    <x v="3"/>
    <x v="0"/>
  </r>
  <r>
    <x v="16"/>
    <x v="2"/>
    <n v="310950"/>
    <s v="Mindanao"/>
    <x v="3"/>
    <x v="0"/>
  </r>
  <r>
    <x v="16"/>
    <x v="3"/>
    <n v="390854"/>
    <s v="Mindanao"/>
    <x v="3"/>
    <x v="0"/>
  </r>
  <r>
    <x v="17"/>
    <x v="4"/>
    <m/>
    <m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6291F-737F-DA48-8198-248E4B40694C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23" firstHeaderRow="1" firstDataRow="2" firstDataCol="1" rowPageCount="2" colPageCount="1"/>
  <pivotFields count="6">
    <pivotField axis="axisRow" showAll="0">
      <items count="19">
        <item x="16"/>
        <item x="1"/>
        <item x="2"/>
        <item x="3"/>
        <item x="4"/>
        <item x="5"/>
        <item x="11"/>
        <item x="6"/>
        <item x="0"/>
        <item x="7"/>
        <item x="8"/>
        <item x="9"/>
        <item x="10"/>
        <item x="12"/>
        <item x="13"/>
        <item x="14"/>
        <item x="15"/>
        <item x="17"/>
        <item t="default"/>
      </items>
    </pivotField>
    <pivotField axis="axisPage" multipleItemSelectionAllowed="1" showAll="0">
      <items count="6">
        <item x="0"/>
        <item x="3"/>
        <item x="1"/>
        <item x="2"/>
        <item h="1" x="4"/>
        <item t="default"/>
      </items>
    </pivotField>
    <pivotField dataField="1"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5" hier="-1"/>
    <pageField fld="1" hier="-1"/>
  </pageFields>
  <dataFields count="1">
    <dataField name="Sum of 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5"/>
  <sheetViews>
    <sheetView workbookViewId="0">
      <selection activeCell="G37" sqref="G37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5.75" customHeight="1" x14ac:dyDescent="0.15">
      <c r="A2" t="s">
        <v>6</v>
      </c>
      <c r="B2" t="s">
        <v>7</v>
      </c>
      <c r="C2">
        <v>2616</v>
      </c>
      <c r="D2" t="s">
        <v>8</v>
      </c>
      <c r="E2" t="s">
        <v>9</v>
      </c>
      <c r="F2">
        <v>2020</v>
      </c>
    </row>
    <row r="3" spans="1:6" ht="15.75" customHeight="1" x14ac:dyDescent="0.15">
      <c r="A3" t="s">
        <v>6</v>
      </c>
      <c r="B3" t="s">
        <v>11</v>
      </c>
      <c r="C3">
        <v>7713</v>
      </c>
      <c r="D3" t="s">
        <v>8</v>
      </c>
      <c r="E3" t="s">
        <v>9</v>
      </c>
      <c r="F3">
        <v>2020</v>
      </c>
    </row>
    <row r="4" spans="1:6" ht="15.75" customHeight="1" x14ac:dyDescent="0.15">
      <c r="A4" t="s">
        <v>6</v>
      </c>
      <c r="B4" t="s">
        <v>13</v>
      </c>
      <c r="C4">
        <v>216848</v>
      </c>
      <c r="D4" t="s">
        <v>8</v>
      </c>
      <c r="E4" t="s">
        <v>9</v>
      </c>
      <c r="F4">
        <v>2020</v>
      </c>
    </row>
    <row r="5" spans="1:6" ht="15.75" customHeight="1" x14ac:dyDescent="0.15">
      <c r="A5" t="s">
        <v>6</v>
      </c>
      <c r="B5" t="s">
        <v>15</v>
      </c>
      <c r="C5">
        <v>170234</v>
      </c>
      <c r="D5" t="s">
        <v>8</v>
      </c>
      <c r="E5" t="s">
        <v>9</v>
      </c>
      <c r="F5">
        <v>2020</v>
      </c>
    </row>
    <row r="6" spans="1:6" ht="15.75" customHeight="1" x14ac:dyDescent="0.15">
      <c r="A6" t="s">
        <v>12</v>
      </c>
      <c r="B6" t="s">
        <v>7</v>
      </c>
      <c r="C6">
        <v>1531</v>
      </c>
      <c r="D6" t="s">
        <v>8</v>
      </c>
      <c r="E6" t="s">
        <v>9</v>
      </c>
      <c r="F6">
        <v>2020</v>
      </c>
    </row>
    <row r="7" spans="1:6" ht="15.75" customHeight="1" x14ac:dyDescent="0.15">
      <c r="A7" t="s">
        <v>12</v>
      </c>
      <c r="B7" t="s">
        <v>11</v>
      </c>
      <c r="C7">
        <v>4721</v>
      </c>
      <c r="D7" t="s">
        <v>8</v>
      </c>
      <c r="E7" t="s">
        <v>9</v>
      </c>
      <c r="F7">
        <v>2020</v>
      </c>
    </row>
    <row r="8" spans="1:6" ht="15.75" customHeight="1" x14ac:dyDescent="0.15">
      <c r="A8" t="s">
        <v>12</v>
      </c>
      <c r="B8" t="s">
        <v>13</v>
      </c>
      <c r="C8">
        <v>53543</v>
      </c>
      <c r="D8" t="s">
        <v>8</v>
      </c>
      <c r="E8" t="s">
        <v>9</v>
      </c>
      <c r="F8">
        <v>2020</v>
      </c>
    </row>
    <row r="9" spans="1:6" ht="15.75" customHeight="1" x14ac:dyDescent="0.15">
      <c r="A9" t="s">
        <v>12</v>
      </c>
      <c r="B9" t="s">
        <v>15</v>
      </c>
      <c r="C9">
        <v>50005</v>
      </c>
      <c r="D9" t="s">
        <v>8</v>
      </c>
      <c r="E9" t="s">
        <v>9</v>
      </c>
      <c r="F9">
        <v>2020</v>
      </c>
    </row>
    <row r="10" spans="1:6" ht="15.75" customHeight="1" x14ac:dyDescent="0.15">
      <c r="A10" t="s">
        <v>14</v>
      </c>
      <c r="B10" t="s">
        <v>7</v>
      </c>
      <c r="C10">
        <v>5484</v>
      </c>
      <c r="D10" t="s">
        <v>8</v>
      </c>
      <c r="E10" t="s">
        <v>9</v>
      </c>
      <c r="F10">
        <v>2020</v>
      </c>
    </row>
    <row r="11" spans="1:6" ht="15.75" customHeight="1" x14ac:dyDescent="0.15">
      <c r="A11" t="s">
        <v>14</v>
      </c>
      <c r="B11" t="s">
        <v>11</v>
      </c>
      <c r="C11">
        <v>18833</v>
      </c>
      <c r="D11" t="s">
        <v>8</v>
      </c>
      <c r="E11" t="s">
        <v>9</v>
      </c>
      <c r="F11">
        <v>2020</v>
      </c>
    </row>
    <row r="12" spans="1:6" ht="15.75" customHeight="1" x14ac:dyDescent="0.15">
      <c r="A12" t="s">
        <v>14</v>
      </c>
      <c r="B12" t="s">
        <v>13</v>
      </c>
      <c r="C12">
        <v>209712</v>
      </c>
      <c r="D12" t="s">
        <v>8</v>
      </c>
      <c r="E12" t="s">
        <v>9</v>
      </c>
      <c r="F12">
        <v>2020</v>
      </c>
    </row>
    <row r="13" spans="1:6" ht="15.75" customHeight="1" x14ac:dyDescent="0.15">
      <c r="A13" t="s">
        <v>14</v>
      </c>
      <c r="B13" t="s">
        <v>15</v>
      </c>
      <c r="C13">
        <v>156833</v>
      </c>
      <c r="D13" t="s">
        <v>8</v>
      </c>
      <c r="E13" t="s">
        <v>9</v>
      </c>
      <c r="F13">
        <v>2020</v>
      </c>
    </row>
    <row r="14" spans="1:6" ht="15.75" customHeight="1" x14ac:dyDescent="0.15">
      <c r="A14" t="s">
        <v>16</v>
      </c>
      <c r="B14" t="s">
        <v>7</v>
      </c>
      <c r="C14">
        <v>2029</v>
      </c>
      <c r="D14" t="s">
        <v>8</v>
      </c>
      <c r="E14" t="s">
        <v>9</v>
      </c>
      <c r="F14">
        <v>2020</v>
      </c>
    </row>
    <row r="15" spans="1:6" ht="15.75" customHeight="1" x14ac:dyDescent="0.15">
      <c r="A15" t="s">
        <v>16</v>
      </c>
      <c r="B15" t="s">
        <v>11</v>
      </c>
      <c r="C15">
        <v>7106</v>
      </c>
      <c r="D15" t="s">
        <v>8</v>
      </c>
      <c r="E15" t="s">
        <v>9</v>
      </c>
      <c r="F15">
        <v>2020</v>
      </c>
    </row>
    <row r="16" spans="1:6" ht="15.75" customHeight="1" x14ac:dyDescent="0.15">
      <c r="A16" t="s">
        <v>16</v>
      </c>
      <c r="B16" t="s">
        <v>13</v>
      </c>
      <c r="C16">
        <v>103150</v>
      </c>
      <c r="D16" t="s">
        <v>8</v>
      </c>
      <c r="E16" t="s">
        <v>9</v>
      </c>
      <c r="F16">
        <v>2020</v>
      </c>
    </row>
    <row r="17" spans="1:6" ht="15.75" customHeight="1" x14ac:dyDescent="0.15">
      <c r="A17" t="s">
        <v>16</v>
      </c>
      <c r="B17" t="s">
        <v>15</v>
      </c>
      <c r="C17">
        <v>80161</v>
      </c>
      <c r="D17" t="s">
        <v>8</v>
      </c>
      <c r="E17" t="s">
        <v>9</v>
      </c>
      <c r="F17">
        <v>2020</v>
      </c>
    </row>
    <row r="18" spans="1:6" ht="15.75" customHeight="1" x14ac:dyDescent="0.15">
      <c r="A18" t="s">
        <v>17</v>
      </c>
      <c r="B18" t="s">
        <v>7</v>
      </c>
      <c r="C18">
        <v>2969</v>
      </c>
      <c r="D18" t="s">
        <v>8</v>
      </c>
      <c r="E18" t="s">
        <v>9</v>
      </c>
      <c r="F18">
        <v>2020</v>
      </c>
    </row>
    <row r="19" spans="1:6" ht="15.75" customHeight="1" x14ac:dyDescent="0.15">
      <c r="A19" t="s">
        <v>17</v>
      </c>
      <c r="B19" t="s">
        <v>11</v>
      </c>
      <c r="C19">
        <v>11921</v>
      </c>
      <c r="D19" t="s">
        <v>8</v>
      </c>
      <c r="E19" t="s">
        <v>9</v>
      </c>
      <c r="F19">
        <v>2020</v>
      </c>
    </row>
    <row r="20" spans="1:6" ht="15.75" customHeight="1" x14ac:dyDescent="0.15">
      <c r="A20" t="s">
        <v>17</v>
      </c>
      <c r="B20" t="s">
        <v>13</v>
      </c>
      <c r="C20">
        <v>294622</v>
      </c>
      <c r="D20" t="s">
        <v>8</v>
      </c>
      <c r="E20" t="s">
        <v>9</v>
      </c>
      <c r="F20">
        <v>2020</v>
      </c>
    </row>
    <row r="21" spans="1:6" ht="15.75" customHeight="1" x14ac:dyDescent="0.15">
      <c r="A21" t="s">
        <v>17</v>
      </c>
      <c r="B21" t="s">
        <v>15</v>
      </c>
      <c r="C21">
        <v>226244</v>
      </c>
      <c r="D21" t="s">
        <v>8</v>
      </c>
      <c r="E21" t="s">
        <v>9</v>
      </c>
      <c r="F21">
        <v>2020</v>
      </c>
    </row>
    <row r="22" spans="1:6" ht="15.75" customHeight="1" x14ac:dyDescent="0.15">
      <c r="A22" t="s">
        <v>18</v>
      </c>
      <c r="B22" t="s">
        <v>7</v>
      </c>
      <c r="C22">
        <v>6029</v>
      </c>
      <c r="D22" t="s">
        <v>8</v>
      </c>
      <c r="E22" t="s">
        <v>9</v>
      </c>
      <c r="F22">
        <v>2020</v>
      </c>
    </row>
    <row r="23" spans="1:6" ht="15.75" customHeight="1" x14ac:dyDescent="0.15">
      <c r="A23" t="s">
        <v>18</v>
      </c>
      <c r="B23" t="s">
        <v>11</v>
      </c>
      <c r="C23">
        <v>19467</v>
      </c>
      <c r="D23" t="s">
        <v>8</v>
      </c>
      <c r="E23" t="s">
        <v>9</v>
      </c>
      <c r="F23">
        <v>2020</v>
      </c>
    </row>
    <row r="24" spans="1:6" ht="15.75" customHeight="1" x14ac:dyDescent="0.15">
      <c r="A24" t="s">
        <v>18</v>
      </c>
      <c r="B24" t="s">
        <v>13</v>
      </c>
      <c r="C24">
        <v>326299</v>
      </c>
      <c r="D24" t="s">
        <v>8</v>
      </c>
      <c r="E24" t="s">
        <v>9</v>
      </c>
      <c r="F24">
        <v>2020</v>
      </c>
    </row>
    <row r="25" spans="1:6" ht="15.75" customHeight="1" x14ac:dyDescent="0.15">
      <c r="A25" t="s">
        <v>18</v>
      </c>
      <c r="B25" t="s">
        <v>15</v>
      </c>
      <c r="C25">
        <v>256287</v>
      </c>
      <c r="D25" t="s">
        <v>8</v>
      </c>
      <c r="E25" t="s">
        <v>9</v>
      </c>
      <c r="F25">
        <v>2020</v>
      </c>
    </row>
    <row r="26" spans="1:6" ht="15.75" customHeight="1" x14ac:dyDescent="0.15">
      <c r="A26" t="s">
        <v>20</v>
      </c>
      <c r="B26" t="s">
        <v>7</v>
      </c>
      <c r="C26">
        <v>5734</v>
      </c>
      <c r="D26" t="s">
        <v>8</v>
      </c>
      <c r="E26" t="s">
        <v>9</v>
      </c>
      <c r="F26">
        <v>2020</v>
      </c>
    </row>
    <row r="27" spans="1:6" ht="15.75" customHeight="1" x14ac:dyDescent="0.15">
      <c r="A27" t="s">
        <v>20</v>
      </c>
      <c r="B27" t="s">
        <v>11</v>
      </c>
      <c r="C27">
        <v>19927</v>
      </c>
      <c r="D27" t="s">
        <v>8</v>
      </c>
      <c r="E27" t="s">
        <v>9</v>
      </c>
      <c r="F27">
        <v>2020</v>
      </c>
    </row>
    <row r="28" spans="1:6" ht="15.75" customHeight="1" x14ac:dyDescent="0.15">
      <c r="A28" t="s">
        <v>20</v>
      </c>
      <c r="B28" t="s">
        <v>13</v>
      </c>
      <c r="C28">
        <v>181815</v>
      </c>
      <c r="D28" t="s">
        <v>8</v>
      </c>
      <c r="E28" t="s">
        <v>9</v>
      </c>
      <c r="F28">
        <v>2020</v>
      </c>
    </row>
    <row r="29" spans="1:6" ht="15.75" customHeight="1" x14ac:dyDescent="0.15">
      <c r="A29" t="s">
        <v>20</v>
      </c>
      <c r="B29" t="s">
        <v>15</v>
      </c>
      <c r="C29">
        <v>151680</v>
      </c>
      <c r="D29" t="s">
        <v>8</v>
      </c>
      <c r="E29" t="s">
        <v>9</v>
      </c>
      <c r="F29">
        <v>2020</v>
      </c>
    </row>
    <row r="30" spans="1:6" ht="15.75" customHeight="1" x14ac:dyDescent="0.15">
      <c r="A30" t="s">
        <v>21</v>
      </c>
      <c r="B30" t="s">
        <v>7</v>
      </c>
      <c r="C30">
        <v>4945</v>
      </c>
      <c r="D30" t="s">
        <v>8</v>
      </c>
      <c r="E30" t="s">
        <v>9</v>
      </c>
      <c r="F30">
        <v>2020</v>
      </c>
    </row>
    <row r="31" spans="1:6" ht="15.75" customHeight="1" x14ac:dyDescent="0.15">
      <c r="A31" t="s">
        <v>21</v>
      </c>
      <c r="B31" t="s">
        <v>11</v>
      </c>
      <c r="C31">
        <v>16623</v>
      </c>
      <c r="D31" t="s">
        <v>8</v>
      </c>
      <c r="E31" t="s">
        <v>9</v>
      </c>
      <c r="F31">
        <v>2020</v>
      </c>
    </row>
    <row r="32" spans="1:6" ht="15.75" customHeight="1" x14ac:dyDescent="0.15">
      <c r="A32" t="s">
        <v>21</v>
      </c>
      <c r="B32" t="s">
        <v>13</v>
      </c>
      <c r="C32">
        <v>375497</v>
      </c>
      <c r="D32" t="s">
        <v>8</v>
      </c>
      <c r="E32" t="s">
        <v>9</v>
      </c>
      <c r="F32">
        <v>2020</v>
      </c>
    </row>
    <row r="33" spans="1:6" ht="15.75" customHeight="1" x14ac:dyDescent="0.15">
      <c r="A33" t="s">
        <v>21</v>
      </c>
      <c r="B33" t="s">
        <v>15</v>
      </c>
      <c r="C33">
        <v>330983</v>
      </c>
      <c r="D33" t="s">
        <v>8</v>
      </c>
      <c r="E33" t="s">
        <v>9</v>
      </c>
      <c r="F33">
        <v>2020</v>
      </c>
    </row>
    <row r="34" spans="1:6" ht="15.75" customHeight="1" x14ac:dyDescent="0.15">
      <c r="A34" t="s">
        <v>22</v>
      </c>
      <c r="B34" t="s">
        <v>7</v>
      </c>
      <c r="C34">
        <v>7622</v>
      </c>
      <c r="D34" t="s">
        <v>30</v>
      </c>
      <c r="E34" t="s">
        <v>9</v>
      </c>
      <c r="F34">
        <v>2020</v>
      </c>
    </row>
    <row r="35" spans="1:6" ht="15.75" customHeight="1" x14ac:dyDescent="0.15">
      <c r="A35" t="s">
        <v>22</v>
      </c>
      <c r="B35" t="s">
        <v>11</v>
      </c>
      <c r="C35">
        <v>21727</v>
      </c>
      <c r="D35" t="s">
        <v>30</v>
      </c>
      <c r="E35" t="s">
        <v>9</v>
      </c>
      <c r="F35">
        <v>2020</v>
      </c>
    </row>
    <row r="36" spans="1:6" ht="15.75" customHeight="1" x14ac:dyDescent="0.15">
      <c r="A36" t="s">
        <v>22</v>
      </c>
      <c r="B36" t="s">
        <v>13</v>
      </c>
      <c r="C36">
        <v>334834</v>
      </c>
      <c r="D36" t="s">
        <v>30</v>
      </c>
      <c r="E36" t="s">
        <v>9</v>
      </c>
      <c r="F36">
        <v>2020</v>
      </c>
    </row>
    <row r="37" spans="1:6" ht="15.75" customHeight="1" x14ac:dyDescent="0.15">
      <c r="A37" t="s">
        <v>22</v>
      </c>
      <c r="B37" t="s">
        <v>15</v>
      </c>
      <c r="C37">
        <v>273922</v>
      </c>
      <c r="D37" t="s">
        <v>30</v>
      </c>
      <c r="E37" t="s">
        <v>9</v>
      </c>
      <c r="F37">
        <v>2020</v>
      </c>
    </row>
    <row r="38" spans="1:6" ht="15.75" customHeight="1" x14ac:dyDescent="0.15">
      <c r="A38" t="s">
        <v>23</v>
      </c>
      <c r="B38" t="s">
        <v>7</v>
      </c>
      <c r="C38">
        <v>4253</v>
      </c>
      <c r="D38" t="s">
        <v>30</v>
      </c>
      <c r="E38" t="s">
        <v>9</v>
      </c>
      <c r="F38">
        <v>2020</v>
      </c>
    </row>
    <row r="39" spans="1:6" ht="15.75" customHeight="1" x14ac:dyDescent="0.15">
      <c r="A39" t="s">
        <v>23</v>
      </c>
      <c r="B39" t="s">
        <v>11</v>
      </c>
      <c r="C39">
        <v>19965</v>
      </c>
      <c r="D39" t="s">
        <v>30</v>
      </c>
      <c r="E39" t="s">
        <v>9</v>
      </c>
      <c r="F39">
        <v>2020</v>
      </c>
    </row>
    <row r="40" spans="1:6" ht="15.75" customHeight="1" x14ac:dyDescent="0.15">
      <c r="A40" t="s">
        <v>23</v>
      </c>
      <c r="B40" t="s">
        <v>13</v>
      </c>
      <c r="C40">
        <v>290644</v>
      </c>
      <c r="D40" t="s">
        <v>30</v>
      </c>
      <c r="E40" t="s">
        <v>9</v>
      </c>
      <c r="F40">
        <v>2020</v>
      </c>
    </row>
    <row r="41" spans="1:6" ht="15.75" customHeight="1" x14ac:dyDescent="0.15">
      <c r="A41" t="s">
        <v>23</v>
      </c>
      <c r="B41" t="s">
        <v>15</v>
      </c>
      <c r="C41">
        <v>231755</v>
      </c>
      <c r="D41" t="s">
        <v>30</v>
      </c>
      <c r="E41" t="s">
        <v>9</v>
      </c>
      <c r="F41">
        <v>2020</v>
      </c>
    </row>
    <row r="42" spans="1:6" ht="15.75" customHeight="1" x14ac:dyDescent="0.15">
      <c r="A42" t="s">
        <v>24</v>
      </c>
      <c r="B42" t="s">
        <v>7</v>
      </c>
      <c r="C42">
        <v>3677</v>
      </c>
      <c r="D42" t="s">
        <v>30</v>
      </c>
      <c r="E42" t="s">
        <v>9</v>
      </c>
      <c r="F42">
        <v>2020</v>
      </c>
    </row>
    <row r="43" spans="1:6" ht="15.75" customHeight="1" x14ac:dyDescent="0.15">
      <c r="A43" t="s">
        <v>24</v>
      </c>
      <c r="B43" t="s">
        <v>11</v>
      </c>
      <c r="C43">
        <v>15972</v>
      </c>
      <c r="D43" t="s">
        <v>30</v>
      </c>
      <c r="E43" t="s">
        <v>9</v>
      </c>
      <c r="F43">
        <v>2020</v>
      </c>
    </row>
    <row r="44" spans="1:6" ht="15.75" customHeight="1" x14ac:dyDescent="0.15">
      <c r="A44" t="s">
        <v>24</v>
      </c>
      <c r="B44" t="s">
        <v>13</v>
      </c>
      <c r="C44">
        <v>268345</v>
      </c>
      <c r="D44" t="s">
        <v>30</v>
      </c>
      <c r="E44" t="s">
        <v>9</v>
      </c>
      <c r="F44">
        <v>2020</v>
      </c>
    </row>
    <row r="45" spans="1:6" ht="15.75" customHeight="1" x14ac:dyDescent="0.15">
      <c r="A45" t="s">
        <v>24</v>
      </c>
      <c r="B45" t="s">
        <v>15</v>
      </c>
      <c r="C45">
        <v>230993</v>
      </c>
      <c r="D45" t="s">
        <v>30</v>
      </c>
      <c r="E45" t="s">
        <v>9</v>
      </c>
      <c r="F45">
        <v>2020</v>
      </c>
    </row>
    <row r="46" spans="1:6" ht="15.75" customHeight="1" x14ac:dyDescent="0.15">
      <c r="A46" t="s">
        <v>19</v>
      </c>
      <c r="B46" t="s">
        <v>7</v>
      </c>
      <c r="C46">
        <v>4612</v>
      </c>
      <c r="D46" t="s">
        <v>31</v>
      </c>
      <c r="E46" t="s">
        <v>9</v>
      </c>
      <c r="F46">
        <v>2020</v>
      </c>
    </row>
    <row r="47" spans="1:6" ht="15.75" customHeight="1" x14ac:dyDescent="0.15">
      <c r="A47" t="s">
        <v>19</v>
      </c>
      <c r="B47" t="s">
        <v>11</v>
      </c>
      <c r="C47">
        <v>17775</v>
      </c>
      <c r="D47" t="s">
        <v>31</v>
      </c>
      <c r="E47" t="s">
        <v>9</v>
      </c>
      <c r="F47">
        <v>2020</v>
      </c>
    </row>
    <row r="48" spans="1:6" ht="15.75" customHeight="1" x14ac:dyDescent="0.15">
      <c r="A48" t="s">
        <v>19</v>
      </c>
      <c r="B48" t="s">
        <v>13</v>
      </c>
      <c r="C48">
        <v>273579</v>
      </c>
      <c r="D48" t="s">
        <v>31</v>
      </c>
      <c r="E48" t="s">
        <v>9</v>
      </c>
      <c r="F48">
        <v>2020</v>
      </c>
    </row>
    <row r="49" spans="1:6" ht="13" x14ac:dyDescent="0.15">
      <c r="A49" t="s">
        <v>19</v>
      </c>
      <c r="B49" t="s">
        <v>15</v>
      </c>
      <c r="C49">
        <v>204088</v>
      </c>
      <c r="D49" t="s">
        <v>31</v>
      </c>
      <c r="E49" t="s">
        <v>9</v>
      </c>
      <c r="F49">
        <v>2020</v>
      </c>
    </row>
    <row r="50" spans="1:6" ht="13" x14ac:dyDescent="0.15">
      <c r="A50" t="s">
        <v>25</v>
      </c>
      <c r="B50" t="s">
        <v>7</v>
      </c>
      <c r="C50">
        <v>1775</v>
      </c>
      <c r="D50" t="s">
        <v>31</v>
      </c>
      <c r="E50" t="s">
        <v>9</v>
      </c>
      <c r="F50">
        <v>2020</v>
      </c>
    </row>
    <row r="51" spans="1:6" ht="13" x14ac:dyDescent="0.15">
      <c r="A51" t="s">
        <v>25</v>
      </c>
      <c r="B51" t="s">
        <v>11</v>
      </c>
      <c r="C51">
        <v>10237</v>
      </c>
      <c r="D51" t="s">
        <v>31</v>
      </c>
      <c r="E51" t="s">
        <v>9</v>
      </c>
      <c r="F51">
        <v>2020</v>
      </c>
    </row>
    <row r="52" spans="1:6" ht="13" x14ac:dyDescent="0.15">
      <c r="A52" t="s">
        <v>25</v>
      </c>
      <c r="B52" t="s">
        <v>13</v>
      </c>
      <c r="C52">
        <v>233224</v>
      </c>
      <c r="D52" t="s">
        <v>31</v>
      </c>
      <c r="E52" t="s">
        <v>9</v>
      </c>
      <c r="F52">
        <v>2020</v>
      </c>
    </row>
    <row r="53" spans="1:6" ht="13" x14ac:dyDescent="0.15">
      <c r="A53" t="s">
        <v>25</v>
      </c>
      <c r="B53" t="s">
        <v>15</v>
      </c>
      <c r="C53">
        <v>207896</v>
      </c>
      <c r="D53" t="s">
        <v>31</v>
      </c>
      <c r="E53" t="s">
        <v>9</v>
      </c>
      <c r="F53">
        <v>2020</v>
      </c>
    </row>
    <row r="54" spans="1:6" ht="13" x14ac:dyDescent="0.15">
      <c r="A54" t="s">
        <v>26</v>
      </c>
      <c r="B54" t="s">
        <v>7</v>
      </c>
      <c r="C54">
        <v>2255</v>
      </c>
      <c r="D54" t="s">
        <v>31</v>
      </c>
      <c r="E54" t="s">
        <v>9</v>
      </c>
      <c r="F54">
        <v>2020</v>
      </c>
    </row>
    <row r="55" spans="1:6" ht="13" x14ac:dyDescent="0.15">
      <c r="A55" t="s">
        <v>26</v>
      </c>
      <c r="B55" t="s">
        <v>11</v>
      </c>
      <c r="C55">
        <v>11587</v>
      </c>
      <c r="D55" t="s">
        <v>31</v>
      </c>
      <c r="E55" t="s">
        <v>9</v>
      </c>
      <c r="F55">
        <v>2020</v>
      </c>
    </row>
    <row r="56" spans="1:6" ht="13" x14ac:dyDescent="0.15">
      <c r="A56" t="s">
        <v>26</v>
      </c>
      <c r="B56" t="s">
        <v>13</v>
      </c>
      <c r="C56">
        <v>224130</v>
      </c>
      <c r="D56" t="s">
        <v>31</v>
      </c>
      <c r="E56" t="s">
        <v>9</v>
      </c>
      <c r="F56">
        <v>2020</v>
      </c>
    </row>
    <row r="57" spans="1:6" ht="13" x14ac:dyDescent="0.15">
      <c r="A57" t="s">
        <v>26</v>
      </c>
      <c r="B57" t="s">
        <v>15</v>
      </c>
      <c r="C57">
        <v>173609</v>
      </c>
      <c r="D57" t="s">
        <v>31</v>
      </c>
      <c r="E57" t="s">
        <v>9</v>
      </c>
      <c r="F57">
        <v>2020</v>
      </c>
    </row>
    <row r="58" spans="1:6" ht="13" x14ac:dyDescent="0.15">
      <c r="A58" t="s">
        <v>27</v>
      </c>
      <c r="B58" t="s">
        <v>7</v>
      </c>
      <c r="C58">
        <v>864</v>
      </c>
      <c r="D58" t="s">
        <v>31</v>
      </c>
      <c r="E58" t="s">
        <v>9</v>
      </c>
      <c r="F58">
        <v>2020</v>
      </c>
    </row>
    <row r="59" spans="1:6" ht="13" x14ac:dyDescent="0.15">
      <c r="A59" t="s">
        <v>27</v>
      </c>
      <c r="B59" t="s">
        <v>11</v>
      </c>
      <c r="C59">
        <v>5914</v>
      </c>
      <c r="D59" t="s">
        <v>31</v>
      </c>
      <c r="E59" t="s">
        <v>9</v>
      </c>
      <c r="F59">
        <v>2020</v>
      </c>
    </row>
    <row r="60" spans="1:6" ht="13" x14ac:dyDescent="0.15">
      <c r="A60" t="s">
        <v>27</v>
      </c>
      <c r="B60" t="s">
        <v>13</v>
      </c>
      <c r="C60">
        <v>209224</v>
      </c>
      <c r="D60" t="s">
        <v>31</v>
      </c>
      <c r="E60" t="s">
        <v>9</v>
      </c>
      <c r="F60">
        <v>2020</v>
      </c>
    </row>
    <row r="61" spans="1:6" ht="13" x14ac:dyDescent="0.15">
      <c r="A61" t="s">
        <v>27</v>
      </c>
      <c r="B61" t="s">
        <v>15</v>
      </c>
      <c r="C61">
        <v>192431</v>
      </c>
      <c r="D61" t="s">
        <v>31</v>
      </c>
      <c r="E61" t="s">
        <v>9</v>
      </c>
      <c r="F61">
        <v>2020</v>
      </c>
    </row>
    <row r="62" spans="1:6" ht="13" x14ac:dyDescent="0.15">
      <c r="A62" t="s">
        <v>28</v>
      </c>
      <c r="B62" t="s">
        <v>7</v>
      </c>
      <c r="C62">
        <v>4373</v>
      </c>
      <c r="D62" t="s">
        <v>31</v>
      </c>
      <c r="E62" t="s">
        <v>9</v>
      </c>
      <c r="F62">
        <v>2020</v>
      </c>
    </row>
    <row r="63" spans="1:6" ht="13" x14ac:dyDescent="0.15">
      <c r="A63" t="s">
        <v>28</v>
      </c>
      <c r="B63" t="s">
        <v>11</v>
      </c>
      <c r="C63">
        <v>14960</v>
      </c>
      <c r="D63" t="s">
        <v>31</v>
      </c>
      <c r="E63" t="s">
        <v>9</v>
      </c>
      <c r="F63">
        <v>2020</v>
      </c>
    </row>
    <row r="64" spans="1:6" ht="13" x14ac:dyDescent="0.15">
      <c r="A64" t="s">
        <v>28</v>
      </c>
      <c r="B64" t="s">
        <v>13</v>
      </c>
      <c r="C64">
        <v>172807</v>
      </c>
      <c r="D64" t="s">
        <v>31</v>
      </c>
      <c r="E64" t="s">
        <v>9</v>
      </c>
      <c r="F64">
        <v>2020</v>
      </c>
    </row>
    <row r="65" spans="1:6" ht="13" x14ac:dyDescent="0.15">
      <c r="A65" t="s">
        <v>28</v>
      </c>
      <c r="B65" t="s">
        <v>15</v>
      </c>
      <c r="C65">
        <v>137479</v>
      </c>
      <c r="D65" t="s">
        <v>31</v>
      </c>
      <c r="E65" t="s">
        <v>9</v>
      </c>
      <c r="F65">
        <v>2020</v>
      </c>
    </row>
    <row r="66" spans="1:6" ht="13" x14ac:dyDescent="0.15">
      <c r="A66" t="s">
        <v>10</v>
      </c>
      <c r="B66" t="s">
        <v>7</v>
      </c>
      <c r="C66">
        <v>580</v>
      </c>
      <c r="D66" t="s">
        <v>31</v>
      </c>
      <c r="E66" t="s">
        <v>9</v>
      </c>
      <c r="F66">
        <v>2020</v>
      </c>
    </row>
    <row r="67" spans="1:6" ht="13" x14ac:dyDescent="0.15">
      <c r="A67" t="s">
        <v>10</v>
      </c>
      <c r="B67" t="s">
        <v>11</v>
      </c>
      <c r="C67">
        <v>2127</v>
      </c>
      <c r="D67" t="s">
        <v>31</v>
      </c>
      <c r="E67" t="s">
        <v>9</v>
      </c>
      <c r="F67">
        <v>2020</v>
      </c>
    </row>
    <row r="68" spans="1:6" ht="13" x14ac:dyDescent="0.15">
      <c r="A68" t="s">
        <v>10</v>
      </c>
      <c r="B68" t="s">
        <v>13</v>
      </c>
      <c r="C68">
        <v>347321</v>
      </c>
      <c r="D68" t="s">
        <v>31</v>
      </c>
      <c r="E68" t="s">
        <v>9</v>
      </c>
      <c r="F68">
        <v>2020</v>
      </c>
    </row>
    <row r="69" spans="1:6" ht="13" x14ac:dyDescent="0.15">
      <c r="A69" t="s">
        <v>10</v>
      </c>
      <c r="B69" t="s">
        <v>15</v>
      </c>
      <c r="C69">
        <v>356822</v>
      </c>
      <c r="D69" t="s">
        <v>31</v>
      </c>
      <c r="E69" t="s">
        <v>9</v>
      </c>
      <c r="F69">
        <v>2020</v>
      </c>
    </row>
    <row r="70" spans="1:6" ht="13" x14ac:dyDescent="0.15">
      <c r="A70" t="s">
        <v>6</v>
      </c>
      <c r="B70" t="s">
        <v>7</v>
      </c>
      <c r="C70">
        <v>2928</v>
      </c>
      <c r="D70" t="s">
        <v>8</v>
      </c>
      <c r="E70" t="s">
        <v>32</v>
      </c>
      <c r="F70">
        <v>2020</v>
      </c>
    </row>
    <row r="71" spans="1:6" ht="13" x14ac:dyDescent="0.15">
      <c r="A71" t="s">
        <v>6</v>
      </c>
      <c r="B71" t="s">
        <v>11</v>
      </c>
      <c r="C71">
        <v>9280</v>
      </c>
      <c r="D71" t="s">
        <v>8</v>
      </c>
      <c r="E71" t="s">
        <v>32</v>
      </c>
      <c r="F71">
        <v>2020</v>
      </c>
    </row>
    <row r="72" spans="1:6" ht="13" x14ac:dyDescent="0.15">
      <c r="A72" t="s">
        <v>6</v>
      </c>
      <c r="B72" t="s">
        <v>13</v>
      </c>
      <c r="C72">
        <v>219619</v>
      </c>
      <c r="D72" t="s">
        <v>8</v>
      </c>
      <c r="E72" t="s">
        <v>32</v>
      </c>
      <c r="F72">
        <v>2020</v>
      </c>
    </row>
    <row r="73" spans="1:6" ht="13" x14ac:dyDescent="0.15">
      <c r="A73" t="s">
        <v>6</v>
      </c>
      <c r="B73" t="s">
        <v>15</v>
      </c>
      <c r="C73">
        <v>176675</v>
      </c>
      <c r="D73" t="s">
        <v>8</v>
      </c>
      <c r="E73" t="s">
        <v>32</v>
      </c>
      <c r="F73">
        <v>2020</v>
      </c>
    </row>
    <row r="74" spans="1:6" ht="13" x14ac:dyDescent="0.15">
      <c r="A74" t="s">
        <v>12</v>
      </c>
      <c r="B74" t="s">
        <v>7</v>
      </c>
      <c r="C74">
        <v>1497</v>
      </c>
      <c r="D74" t="s">
        <v>8</v>
      </c>
      <c r="E74" t="s">
        <v>32</v>
      </c>
      <c r="F74">
        <v>2020</v>
      </c>
    </row>
    <row r="75" spans="1:6" ht="13" x14ac:dyDescent="0.15">
      <c r="A75" t="s">
        <v>12</v>
      </c>
      <c r="B75" t="s">
        <v>11</v>
      </c>
      <c r="C75">
        <v>4761</v>
      </c>
      <c r="D75" t="s">
        <v>8</v>
      </c>
      <c r="E75" t="s">
        <v>32</v>
      </c>
      <c r="F75">
        <v>2020</v>
      </c>
    </row>
    <row r="76" spans="1:6" ht="13" x14ac:dyDescent="0.15">
      <c r="A76" t="s">
        <v>12</v>
      </c>
      <c r="B76" t="s">
        <v>13</v>
      </c>
      <c r="C76">
        <v>51644</v>
      </c>
      <c r="D76" t="s">
        <v>8</v>
      </c>
      <c r="E76" t="s">
        <v>32</v>
      </c>
      <c r="F76">
        <v>2020</v>
      </c>
    </row>
    <row r="77" spans="1:6" ht="13" x14ac:dyDescent="0.15">
      <c r="A77" t="s">
        <v>12</v>
      </c>
      <c r="B77" t="s">
        <v>15</v>
      </c>
      <c r="C77">
        <v>50366</v>
      </c>
      <c r="D77" t="s">
        <v>8</v>
      </c>
      <c r="E77" t="s">
        <v>32</v>
      </c>
      <c r="F77">
        <v>2020</v>
      </c>
    </row>
    <row r="78" spans="1:6" ht="13" x14ac:dyDescent="0.15">
      <c r="A78" t="s">
        <v>14</v>
      </c>
      <c r="B78" t="s">
        <v>7</v>
      </c>
      <c r="C78">
        <v>5157</v>
      </c>
      <c r="D78" t="s">
        <v>8</v>
      </c>
      <c r="E78" t="s">
        <v>32</v>
      </c>
      <c r="F78">
        <v>2020</v>
      </c>
    </row>
    <row r="79" spans="1:6" ht="13" x14ac:dyDescent="0.15">
      <c r="A79" t="s">
        <v>14</v>
      </c>
      <c r="B79" t="s">
        <v>11</v>
      </c>
      <c r="C79">
        <v>17769</v>
      </c>
      <c r="D79" t="s">
        <v>8</v>
      </c>
      <c r="E79" t="s">
        <v>32</v>
      </c>
      <c r="F79">
        <v>2020</v>
      </c>
    </row>
    <row r="80" spans="1:6" ht="13" x14ac:dyDescent="0.15">
      <c r="A80" t="s">
        <v>14</v>
      </c>
      <c r="B80" t="s">
        <v>13</v>
      </c>
      <c r="C80">
        <v>204041</v>
      </c>
      <c r="D80" t="s">
        <v>8</v>
      </c>
      <c r="E80" t="s">
        <v>32</v>
      </c>
      <c r="F80">
        <v>2020</v>
      </c>
    </row>
    <row r="81" spans="1:6" ht="13" x14ac:dyDescent="0.15">
      <c r="A81" t="s">
        <v>14</v>
      </c>
      <c r="B81" t="s">
        <v>15</v>
      </c>
      <c r="C81">
        <v>158129</v>
      </c>
      <c r="D81" t="s">
        <v>8</v>
      </c>
      <c r="E81" t="s">
        <v>32</v>
      </c>
      <c r="F81">
        <v>2020</v>
      </c>
    </row>
    <row r="82" spans="1:6" ht="13" x14ac:dyDescent="0.15">
      <c r="A82" t="s">
        <v>16</v>
      </c>
      <c r="B82" t="s">
        <v>7</v>
      </c>
      <c r="C82">
        <v>2044</v>
      </c>
      <c r="D82" t="s">
        <v>8</v>
      </c>
      <c r="E82" t="s">
        <v>32</v>
      </c>
      <c r="F82">
        <v>2020</v>
      </c>
    </row>
    <row r="83" spans="1:6" ht="13" x14ac:dyDescent="0.15">
      <c r="A83" t="s">
        <v>16</v>
      </c>
      <c r="B83" t="s">
        <v>11</v>
      </c>
      <c r="C83">
        <v>7392</v>
      </c>
      <c r="D83" t="s">
        <v>8</v>
      </c>
      <c r="E83" t="s">
        <v>32</v>
      </c>
      <c r="F83">
        <v>2020</v>
      </c>
    </row>
    <row r="84" spans="1:6" ht="13" x14ac:dyDescent="0.15">
      <c r="A84" t="s">
        <v>16</v>
      </c>
      <c r="B84" t="s">
        <v>13</v>
      </c>
      <c r="C84">
        <v>103424</v>
      </c>
      <c r="D84" t="s">
        <v>8</v>
      </c>
      <c r="E84" t="s">
        <v>32</v>
      </c>
      <c r="F84">
        <v>2020</v>
      </c>
    </row>
    <row r="85" spans="1:6" ht="13" x14ac:dyDescent="0.15">
      <c r="A85" t="s">
        <v>16</v>
      </c>
      <c r="B85" t="s">
        <v>15</v>
      </c>
      <c r="C85">
        <v>82213</v>
      </c>
      <c r="D85" t="s">
        <v>8</v>
      </c>
      <c r="E85" t="s">
        <v>32</v>
      </c>
      <c r="F85">
        <v>2020</v>
      </c>
    </row>
    <row r="86" spans="1:6" ht="13" x14ac:dyDescent="0.15">
      <c r="A86" t="s">
        <v>17</v>
      </c>
      <c r="B86" t="s">
        <v>7</v>
      </c>
      <c r="C86">
        <v>3008</v>
      </c>
      <c r="D86" t="s">
        <v>8</v>
      </c>
      <c r="E86" t="s">
        <v>32</v>
      </c>
      <c r="F86">
        <v>2020</v>
      </c>
    </row>
    <row r="87" spans="1:6" ht="13" x14ac:dyDescent="0.15">
      <c r="A87" t="s">
        <v>17</v>
      </c>
      <c r="B87" t="s">
        <v>11</v>
      </c>
      <c r="C87">
        <v>12536</v>
      </c>
      <c r="D87" t="s">
        <v>8</v>
      </c>
      <c r="E87" t="s">
        <v>32</v>
      </c>
      <c r="F87">
        <v>2020</v>
      </c>
    </row>
    <row r="88" spans="1:6" ht="13" x14ac:dyDescent="0.15">
      <c r="A88" t="s">
        <v>17</v>
      </c>
      <c r="B88" t="s">
        <v>13</v>
      </c>
      <c r="C88">
        <v>293239</v>
      </c>
      <c r="D88" t="s">
        <v>8</v>
      </c>
      <c r="E88" t="s">
        <v>32</v>
      </c>
      <c r="F88">
        <v>2020</v>
      </c>
    </row>
    <row r="89" spans="1:6" ht="13" x14ac:dyDescent="0.15">
      <c r="A89" t="s">
        <v>17</v>
      </c>
      <c r="B89" t="s">
        <v>15</v>
      </c>
      <c r="C89">
        <v>232788</v>
      </c>
      <c r="D89" t="s">
        <v>8</v>
      </c>
      <c r="E89" t="s">
        <v>32</v>
      </c>
      <c r="F89">
        <v>2020</v>
      </c>
    </row>
    <row r="90" spans="1:6" ht="13" x14ac:dyDescent="0.15">
      <c r="A90" t="s">
        <v>18</v>
      </c>
      <c r="B90" t="s">
        <v>7</v>
      </c>
      <c r="C90">
        <v>5857</v>
      </c>
      <c r="D90" t="s">
        <v>8</v>
      </c>
      <c r="E90" t="s">
        <v>32</v>
      </c>
      <c r="F90">
        <v>2020</v>
      </c>
    </row>
    <row r="91" spans="1:6" ht="13" x14ac:dyDescent="0.15">
      <c r="A91" t="s">
        <v>18</v>
      </c>
      <c r="B91" t="s">
        <v>11</v>
      </c>
      <c r="C91">
        <v>20458</v>
      </c>
      <c r="D91" t="s">
        <v>8</v>
      </c>
      <c r="E91" t="s">
        <v>32</v>
      </c>
      <c r="F91">
        <v>2020</v>
      </c>
    </row>
    <row r="92" spans="1:6" ht="13" x14ac:dyDescent="0.15">
      <c r="A92" t="s">
        <v>18</v>
      </c>
      <c r="B92" t="s">
        <v>13</v>
      </c>
      <c r="C92">
        <v>326071</v>
      </c>
      <c r="D92" t="s">
        <v>8</v>
      </c>
      <c r="E92" t="s">
        <v>32</v>
      </c>
      <c r="F92">
        <v>2020</v>
      </c>
    </row>
    <row r="93" spans="1:6" ht="13" x14ac:dyDescent="0.15">
      <c r="A93" t="s">
        <v>18</v>
      </c>
      <c r="B93" t="s">
        <v>15</v>
      </c>
      <c r="C93">
        <v>263667</v>
      </c>
      <c r="D93" t="s">
        <v>8</v>
      </c>
      <c r="E93" t="s">
        <v>32</v>
      </c>
      <c r="F93">
        <v>2020</v>
      </c>
    </row>
    <row r="94" spans="1:6" ht="13" x14ac:dyDescent="0.15">
      <c r="A94" t="s">
        <v>20</v>
      </c>
      <c r="B94" t="s">
        <v>7</v>
      </c>
      <c r="C94">
        <v>5282</v>
      </c>
      <c r="D94" t="s">
        <v>8</v>
      </c>
      <c r="E94" t="s">
        <v>32</v>
      </c>
      <c r="F94">
        <v>2020</v>
      </c>
    </row>
    <row r="95" spans="1:6" ht="13" x14ac:dyDescent="0.15">
      <c r="A95" t="s">
        <v>20</v>
      </c>
      <c r="B95" t="s">
        <v>11</v>
      </c>
      <c r="C95">
        <v>18882</v>
      </c>
      <c r="D95" t="s">
        <v>8</v>
      </c>
      <c r="E95" t="s">
        <v>32</v>
      </c>
      <c r="F95">
        <v>2020</v>
      </c>
    </row>
    <row r="96" spans="1:6" ht="13" x14ac:dyDescent="0.15">
      <c r="A96" t="s">
        <v>20</v>
      </c>
      <c r="B96" t="s">
        <v>13</v>
      </c>
      <c r="C96">
        <v>176019</v>
      </c>
      <c r="D96" t="s">
        <v>8</v>
      </c>
      <c r="E96" t="s">
        <v>32</v>
      </c>
      <c r="F96">
        <v>2020</v>
      </c>
    </row>
    <row r="97" spans="1:6" ht="13" x14ac:dyDescent="0.15">
      <c r="A97" t="s">
        <v>20</v>
      </c>
      <c r="B97" t="s">
        <v>15</v>
      </c>
      <c r="C97">
        <v>153386</v>
      </c>
      <c r="D97" t="s">
        <v>8</v>
      </c>
      <c r="E97" t="s">
        <v>32</v>
      </c>
      <c r="F97">
        <v>2020</v>
      </c>
    </row>
    <row r="98" spans="1:6" ht="13" x14ac:dyDescent="0.15">
      <c r="A98" t="s">
        <v>21</v>
      </c>
      <c r="B98" t="s">
        <v>7</v>
      </c>
      <c r="C98">
        <v>5583</v>
      </c>
      <c r="D98" t="s">
        <v>8</v>
      </c>
      <c r="E98" t="s">
        <v>32</v>
      </c>
      <c r="F98">
        <v>2020</v>
      </c>
    </row>
    <row r="99" spans="1:6" ht="13" x14ac:dyDescent="0.15">
      <c r="A99" t="s">
        <v>21</v>
      </c>
      <c r="B99" t="s">
        <v>11</v>
      </c>
      <c r="C99">
        <v>18481</v>
      </c>
      <c r="D99" t="s">
        <v>8</v>
      </c>
      <c r="E99" t="s">
        <v>32</v>
      </c>
      <c r="F99">
        <v>2020</v>
      </c>
    </row>
    <row r="100" spans="1:6" ht="13" x14ac:dyDescent="0.15">
      <c r="A100" t="s">
        <v>21</v>
      </c>
      <c r="B100" t="s">
        <v>13</v>
      </c>
      <c r="C100">
        <v>372776</v>
      </c>
      <c r="D100" t="s">
        <v>8</v>
      </c>
      <c r="E100" t="s">
        <v>32</v>
      </c>
      <c r="F100">
        <v>2020</v>
      </c>
    </row>
    <row r="101" spans="1:6" ht="13" x14ac:dyDescent="0.15">
      <c r="A101" t="s">
        <v>21</v>
      </c>
      <c r="B101" t="s">
        <v>15</v>
      </c>
      <c r="C101">
        <v>336908</v>
      </c>
      <c r="D101" t="s">
        <v>8</v>
      </c>
      <c r="E101" t="s">
        <v>32</v>
      </c>
      <c r="F101">
        <v>2020</v>
      </c>
    </row>
    <row r="102" spans="1:6" ht="13" x14ac:dyDescent="0.15">
      <c r="A102" t="s">
        <v>22</v>
      </c>
      <c r="B102" t="s">
        <v>7</v>
      </c>
      <c r="C102">
        <v>7054</v>
      </c>
      <c r="D102" t="s">
        <v>30</v>
      </c>
      <c r="E102" t="s">
        <v>32</v>
      </c>
      <c r="F102">
        <v>2020</v>
      </c>
    </row>
    <row r="103" spans="1:6" ht="13" x14ac:dyDescent="0.15">
      <c r="A103" t="s">
        <v>22</v>
      </c>
      <c r="B103" t="s">
        <v>11</v>
      </c>
      <c r="C103">
        <v>21454</v>
      </c>
      <c r="D103" t="s">
        <v>30</v>
      </c>
      <c r="E103" t="s">
        <v>32</v>
      </c>
      <c r="F103">
        <v>2020</v>
      </c>
    </row>
    <row r="104" spans="1:6" ht="13" x14ac:dyDescent="0.15">
      <c r="A104" t="s">
        <v>22</v>
      </c>
      <c r="B104" t="s">
        <v>13</v>
      </c>
      <c r="C104">
        <v>326340</v>
      </c>
      <c r="D104" t="s">
        <v>30</v>
      </c>
      <c r="E104" t="s">
        <v>32</v>
      </c>
      <c r="F104">
        <v>2020</v>
      </c>
    </row>
    <row r="105" spans="1:6" ht="13" x14ac:dyDescent="0.15">
      <c r="A105" t="s">
        <v>22</v>
      </c>
      <c r="B105" t="s">
        <v>15</v>
      </c>
      <c r="C105">
        <v>277071</v>
      </c>
      <c r="D105" t="s">
        <v>30</v>
      </c>
      <c r="E105" t="s">
        <v>32</v>
      </c>
      <c r="F105">
        <v>2020</v>
      </c>
    </row>
    <row r="106" spans="1:6" ht="13" x14ac:dyDescent="0.15">
      <c r="A106" t="s">
        <v>23</v>
      </c>
      <c r="B106" t="s">
        <v>7</v>
      </c>
      <c r="C106">
        <v>4250</v>
      </c>
      <c r="D106" t="s">
        <v>30</v>
      </c>
      <c r="E106" t="s">
        <v>32</v>
      </c>
      <c r="F106">
        <v>2020</v>
      </c>
    </row>
    <row r="107" spans="1:6" ht="13" x14ac:dyDescent="0.15">
      <c r="A107" t="s">
        <v>23</v>
      </c>
      <c r="B107" t="s">
        <v>11</v>
      </c>
      <c r="C107">
        <v>19654</v>
      </c>
      <c r="D107" t="s">
        <v>30</v>
      </c>
      <c r="E107" t="s">
        <v>32</v>
      </c>
      <c r="F107">
        <v>2020</v>
      </c>
    </row>
    <row r="108" spans="1:6" ht="13" x14ac:dyDescent="0.15">
      <c r="A108" t="s">
        <v>23</v>
      </c>
      <c r="B108" t="s">
        <v>13</v>
      </c>
      <c r="C108">
        <v>287170</v>
      </c>
      <c r="D108" t="s">
        <v>30</v>
      </c>
      <c r="E108" t="s">
        <v>32</v>
      </c>
      <c r="F108">
        <v>2020</v>
      </c>
    </row>
    <row r="109" spans="1:6" ht="13" x14ac:dyDescent="0.15">
      <c r="A109" t="s">
        <v>23</v>
      </c>
      <c r="B109" t="s">
        <v>15</v>
      </c>
      <c r="C109">
        <v>237001</v>
      </c>
      <c r="D109" t="s">
        <v>30</v>
      </c>
      <c r="E109" t="s">
        <v>32</v>
      </c>
      <c r="F109">
        <v>2020</v>
      </c>
    </row>
    <row r="110" spans="1:6" ht="13" x14ac:dyDescent="0.15">
      <c r="A110" t="s">
        <v>24</v>
      </c>
      <c r="B110" t="s">
        <v>7</v>
      </c>
      <c r="C110">
        <v>3546</v>
      </c>
      <c r="D110" t="s">
        <v>30</v>
      </c>
      <c r="E110" t="s">
        <v>32</v>
      </c>
      <c r="F110">
        <v>2020</v>
      </c>
    </row>
    <row r="111" spans="1:6" ht="13" x14ac:dyDescent="0.15">
      <c r="A111" t="s">
        <v>24</v>
      </c>
      <c r="B111" t="s">
        <v>11</v>
      </c>
      <c r="C111">
        <v>15029</v>
      </c>
      <c r="D111" t="s">
        <v>30</v>
      </c>
      <c r="E111" t="s">
        <v>32</v>
      </c>
      <c r="F111">
        <v>2020</v>
      </c>
    </row>
    <row r="112" spans="1:6" ht="13" x14ac:dyDescent="0.15">
      <c r="A112" t="s">
        <v>24</v>
      </c>
      <c r="B112" t="s">
        <v>13</v>
      </c>
      <c r="C112">
        <v>258423</v>
      </c>
      <c r="D112" t="s">
        <v>30</v>
      </c>
      <c r="E112" t="s">
        <v>32</v>
      </c>
      <c r="F112">
        <v>2020</v>
      </c>
    </row>
    <row r="113" spans="1:6" ht="13" x14ac:dyDescent="0.15">
      <c r="A113" t="s">
        <v>24</v>
      </c>
      <c r="B113" t="s">
        <v>15</v>
      </c>
      <c r="C113">
        <v>234264</v>
      </c>
      <c r="D113" t="s">
        <v>30</v>
      </c>
      <c r="E113" t="s">
        <v>32</v>
      </c>
      <c r="F113">
        <v>2020</v>
      </c>
    </row>
    <row r="114" spans="1:6" ht="13" x14ac:dyDescent="0.15">
      <c r="A114" t="s">
        <v>19</v>
      </c>
      <c r="B114" t="s">
        <v>7</v>
      </c>
      <c r="C114">
        <v>4971</v>
      </c>
      <c r="D114" t="s">
        <v>31</v>
      </c>
      <c r="E114" t="s">
        <v>32</v>
      </c>
      <c r="F114">
        <v>2020</v>
      </c>
    </row>
    <row r="115" spans="1:6" ht="13" x14ac:dyDescent="0.15">
      <c r="A115" t="s">
        <v>19</v>
      </c>
      <c r="B115" t="s">
        <v>11</v>
      </c>
      <c r="C115">
        <v>17645</v>
      </c>
      <c r="D115" t="s">
        <v>31</v>
      </c>
      <c r="E115" t="s">
        <v>32</v>
      </c>
      <c r="F115">
        <v>2020</v>
      </c>
    </row>
    <row r="116" spans="1:6" ht="13" x14ac:dyDescent="0.15">
      <c r="A116" t="s">
        <v>19</v>
      </c>
      <c r="B116" t="s">
        <v>13</v>
      </c>
      <c r="C116">
        <v>266270</v>
      </c>
      <c r="D116" t="s">
        <v>31</v>
      </c>
      <c r="E116" t="s">
        <v>32</v>
      </c>
      <c r="F116">
        <v>2020</v>
      </c>
    </row>
    <row r="117" spans="1:6" ht="13" x14ac:dyDescent="0.15">
      <c r="A117" t="s">
        <v>19</v>
      </c>
      <c r="B117" t="s">
        <v>15</v>
      </c>
      <c r="C117">
        <v>207083</v>
      </c>
      <c r="D117" t="s">
        <v>31</v>
      </c>
      <c r="E117" t="s">
        <v>32</v>
      </c>
      <c r="F117">
        <v>2020</v>
      </c>
    </row>
    <row r="118" spans="1:6" ht="13" x14ac:dyDescent="0.15">
      <c r="A118" t="s">
        <v>25</v>
      </c>
      <c r="B118" t="s">
        <v>7</v>
      </c>
      <c r="C118">
        <v>1770</v>
      </c>
      <c r="D118" t="s">
        <v>31</v>
      </c>
      <c r="E118" t="s">
        <v>32</v>
      </c>
      <c r="F118">
        <v>2020</v>
      </c>
    </row>
    <row r="119" spans="1:6" ht="13" x14ac:dyDescent="0.15">
      <c r="A119" t="s">
        <v>25</v>
      </c>
      <c r="B119" t="s">
        <v>11</v>
      </c>
      <c r="C119">
        <v>9611</v>
      </c>
      <c r="D119" t="s">
        <v>31</v>
      </c>
      <c r="E119" t="s">
        <v>32</v>
      </c>
      <c r="F119">
        <v>2020</v>
      </c>
    </row>
    <row r="120" spans="1:6" ht="13" x14ac:dyDescent="0.15">
      <c r="A120" t="s">
        <v>25</v>
      </c>
      <c r="B120" t="s">
        <v>13</v>
      </c>
      <c r="C120">
        <v>225941</v>
      </c>
      <c r="D120" t="s">
        <v>31</v>
      </c>
      <c r="E120" t="s">
        <v>32</v>
      </c>
      <c r="F120">
        <v>2020</v>
      </c>
    </row>
    <row r="121" spans="1:6" ht="13" x14ac:dyDescent="0.15">
      <c r="A121" t="s">
        <v>25</v>
      </c>
      <c r="B121" t="s">
        <v>15</v>
      </c>
      <c r="C121">
        <v>210695</v>
      </c>
      <c r="D121" t="s">
        <v>31</v>
      </c>
      <c r="E121" t="s">
        <v>32</v>
      </c>
      <c r="F121">
        <v>2020</v>
      </c>
    </row>
    <row r="122" spans="1:6" ht="13" x14ac:dyDescent="0.15">
      <c r="A122" t="s">
        <v>26</v>
      </c>
      <c r="B122" t="s">
        <v>7</v>
      </c>
      <c r="C122">
        <v>2172</v>
      </c>
      <c r="D122" t="s">
        <v>31</v>
      </c>
      <c r="E122" t="s">
        <v>32</v>
      </c>
      <c r="F122">
        <v>2020</v>
      </c>
    </row>
    <row r="123" spans="1:6" ht="13" x14ac:dyDescent="0.15">
      <c r="A123" t="s">
        <v>26</v>
      </c>
      <c r="B123" t="s">
        <v>11</v>
      </c>
      <c r="C123">
        <v>10958</v>
      </c>
      <c r="D123" t="s">
        <v>31</v>
      </c>
      <c r="E123" t="s">
        <v>32</v>
      </c>
      <c r="F123">
        <v>2020</v>
      </c>
    </row>
    <row r="124" spans="1:6" ht="13" x14ac:dyDescent="0.15">
      <c r="A124" t="s">
        <v>26</v>
      </c>
      <c r="B124" t="s">
        <v>13</v>
      </c>
      <c r="C124">
        <v>218680</v>
      </c>
      <c r="D124" t="s">
        <v>31</v>
      </c>
      <c r="E124" t="s">
        <v>32</v>
      </c>
      <c r="F124">
        <v>2020</v>
      </c>
    </row>
    <row r="125" spans="1:6" ht="13" x14ac:dyDescent="0.15">
      <c r="A125" t="s">
        <v>26</v>
      </c>
      <c r="B125" t="s">
        <v>15</v>
      </c>
      <c r="C125">
        <v>177367</v>
      </c>
      <c r="D125" t="s">
        <v>31</v>
      </c>
      <c r="E125" t="s">
        <v>32</v>
      </c>
      <c r="F125">
        <v>2020</v>
      </c>
    </row>
    <row r="126" spans="1:6" ht="13" x14ac:dyDescent="0.15">
      <c r="A126" t="s">
        <v>27</v>
      </c>
      <c r="B126" t="s">
        <v>7</v>
      </c>
      <c r="C126">
        <v>996</v>
      </c>
      <c r="D126" t="s">
        <v>31</v>
      </c>
      <c r="E126" t="s">
        <v>32</v>
      </c>
      <c r="F126">
        <v>2020</v>
      </c>
    </row>
    <row r="127" spans="1:6" ht="13" x14ac:dyDescent="0.15">
      <c r="A127" t="s">
        <v>27</v>
      </c>
      <c r="B127" t="s">
        <v>11</v>
      </c>
      <c r="C127">
        <v>10143</v>
      </c>
      <c r="D127" t="s">
        <v>31</v>
      </c>
      <c r="E127" t="s">
        <v>32</v>
      </c>
      <c r="F127">
        <v>2020</v>
      </c>
    </row>
    <row r="128" spans="1:6" ht="13" x14ac:dyDescent="0.15">
      <c r="A128" t="s">
        <v>27</v>
      </c>
      <c r="B128" t="s">
        <v>13</v>
      </c>
      <c r="C128">
        <v>204955</v>
      </c>
      <c r="D128" t="s">
        <v>31</v>
      </c>
      <c r="E128" t="s">
        <v>32</v>
      </c>
      <c r="F128">
        <v>2020</v>
      </c>
    </row>
    <row r="129" spans="1:6" ht="13" x14ac:dyDescent="0.15">
      <c r="A129" t="s">
        <v>27</v>
      </c>
      <c r="B129" t="s">
        <v>15</v>
      </c>
      <c r="C129">
        <v>195624</v>
      </c>
      <c r="D129" t="s">
        <v>31</v>
      </c>
      <c r="E129" t="s">
        <v>32</v>
      </c>
      <c r="F129">
        <v>2020</v>
      </c>
    </row>
    <row r="130" spans="1:6" ht="13" x14ac:dyDescent="0.15">
      <c r="A130" t="s">
        <v>10</v>
      </c>
      <c r="B130" t="s">
        <v>7</v>
      </c>
      <c r="C130">
        <v>559</v>
      </c>
      <c r="D130" t="s">
        <v>31</v>
      </c>
      <c r="E130" t="s">
        <v>32</v>
      </c>
      <c r="F130">
        <v>2020</v>
      </c>
    </row>
    <row r="131" spans="1:6" ht="13" x14ac:dyDescent="0.15">
      <c r="A131" t="s">
        <v>10</v>
      </c>
      <c r="B131" t="s">
        <v>11</v>
      </c>
      <c r="C131">
        <v>2013</v>
      </c>
      <c r="D131" t="s">
        <v>31</v>
      </c>
      <c r="E131" t="s">
        <v>32</v>
      </c>
      <c r="F131">
        <v>2020</v>
      </c>
    </row>
    <row r="132" spans="1:6" ht="13" x14ac:dyDescent="0.15">
      <c r="A132" t="s">
        <v>10</v>
      </c>
      <c r="B132" t="s">
        <v>13</v>
      </c>
      <c r="C132">
        <v>326467</v>
      </c>
      <c r="D132" t="s">
        <v>31</v>
      </c>
      <c r="E132" t="s">
        <v>32</v>
      </c>
      <c r="F132">
        <v>2020</v>
      </c>
    </row>
    <row r="133" spans="1:6" ht="13" x14ac:dyDescent="0.15">
      <c r="A133" t="s">
        <v>10</v>
      </c>
      <c r="B133" t="s">
        <v>15</v>
      </c>
      <c r="C133">
        <v>355781</v>
      </c>
      <c r="D133" t="s">
        <v>31</v>
      </c>
      <c r="E133" t="s">
        <v>32</v>
      </c>
      <c r="F133">
        <v>2020</v>
      </c>
    </row>
    <row r="134" spans="1:6" ht="13" x14ac:dyDescent="0.15">
      <c r="A134" t="s">
        <v>6</v>
      </c>
      <c r="B134" t="s">
        <v>7</v>
      </c>
      <c r="C134">
        <v>2525</v>
      </c>
      <c r="D134" t="s">
        <v>8</v>
      </c>
      <c r="E134" t="s">
        <v>33</v>
      </c>
      <c r="F134">
        <v>2020</v>
      </c>
    </row>
    <row r="135" spans="1:6" ht="13" x14ac:dyDescent="0.15">
      <c r="A135" t="s">
        <v>6</v>
      </c>
      <c r="B135" t="s">
        <v>11</v>
      </c>
      <c r="C135">
        <v>8820</v>
      </c>
      <c r="D135" t="s">
        <v>8</v>
      </c>
      <c r="E135" t="s">
        <v>33</v>
      </c>
      <c r="F135">
        <v>2020</v>
      </c>
    </row>
    <row r="136" spans="1:6" ht="13" x14ac:dyDescent="0.15">
      <c r="A136" t="s">
        <v>6</v>
      </c>
      <c r="B136" t="s">
        <v>13</v>
      </c>
      <c r="C136">
        <v>209781</v>
      </c>
      <c r="D136" t="s">
        <v>8</v>
      </c>
      <c r="E136" t="s">
        <v>33</v>
      </c>
      <c r="F136">
        <v>2020</v>
      </c>
    </row>
    <row r="137" spans="1:6" ht="13" x14ac:dyDescent="0.15">
      <c r="A137" t="s">
        <v>6</v>
      </c>
      <c r="B137" t="s">
        <v>15</v>
      </c>
      <c r="C137">
        <v>179263</v>
      </c>
      <c r="D137" t="s">
        <v>8</v>
      </c>
      <c r="E137" t="s">
        <v>33</v>
      </c>
      <c r="F137">
        <v>2020</v>
      </c>
    </row>
    <row r="138" spans="1:6" ht="13" x14ac:dyDescent="0.15">
      <c r="A138" t="s">
        <v>12</v>
      </c>
      <c r="B138" t="s">
        <v>7</v>
      </c>
      <c r="C138">
        <v>1388</v>
      </c>
      <c r="D138" t="s">
        <v>8</v>
      </c>
      <c r="E138" t="s">
        <v>33</v>
      </c>
      <c r="F138">
        <v>2020</v>
      </c>
    </row>
    <row r="139" spans="1:6" ht="13" x14ac:dyDescent="0.15">
      <c r="A139" t="s">
        <v>12</v>
      </c>
      <c r="B139" t="s">
        <v>11</v>
      </c>
      <c r="C139">
        <v>4579</v>
      </c>
      <c r="D139" t="s">
        <v>8</v>
      </c>
      <c r="E139" t="s">
        <v>33</v>
      </c>
      <c r="F139">
        <v>2020</v>
      </c>
    </row>
    <row r="140" spans="1:6" ht="13" x14ac:dyDescent="0.15">
      <c r="A140" t="s">
        <v>12</v>
      </c>
      <c r="B140" t="s">
        <v>13</v>
      </c>
      <c r="C140">
        <v>49437</v>
      </c>
      <c r="D140" t="s">
        <v>8</v>
      </c>
      <c r="E140" t="s">
        <v>33</v>
      </c>
      <c r="F140">
        <v>2020</v>
      </c>
    </row>
    <row r="141" spans="1:6" ht="13" x14ac:dyDescent="0.15">
      <c r="A141" t="s">
        <v>12</v>
      </c>
      <c r="B141" t="s">
        <v>15</v>
      </c>
      <c r="C141">
        <v>50702</v>
      </c>
      <c r="D141" t="s">
        <v>8</v>
      </c>
      <c r="E141" t="s">
        <v>33</v>
      </c>
      <c r="F141">
        <v>2020</v>
      </c>
    </row>
    <row r="142" spans="1:6" ht="13" x14ac:dyDescent="0.15">
      <c r="A142" t="s">
        <v>14</v>
      </c>
      <c r="B142" t="s">
        <v>7</v>
      </c>
      <c r="C142">
        <v>4808</v>
      </c>
      <c r="D142" t="s">
        <v>8</v>
      </c>
      <c r="E142" t="s">
        <v>33</v>
      </c>
      <c r="F142">
        <v>2020</v>
      </c>
    </row>
    <row r="143" spans="1:6" ht="13" x14ac:dyDescent="0.15">
      <c r="A143" t="s">
        <v>14</v>
      </c>
      <c r="B143" t="s">
        <v>11</v>
      </c>
      <c r="C143">
        <v>16715</v>
      </c>
      <c r="D143" t="s">
        <v>8</v>
      </c>
      <c r="E143" t="s">
        <v>33</v>
      </c>
      <c r="F143">
        <v>2020</v>
      </c>
    </row>
    <row r="144" spans="1:6" ht="13" x14ac:dyDescent="0.15">
      <c r="A144" t="s">
        <v>14</v>
      </c>
      <c r="B144" t="s">
        <v>13</v>
      </c>
      <c r="C144">
        <v>196612</v>
      </c>
      <c r="D144" t="s">
        <v>8</v>
      </c>
      <c r="E144" t="s">
        <v>33</v>
      </c>
      <c r="F144">
        <v>2020</v>
      </c>
    </row>
    <row r="145" spans="1:6" ht="13" x14ac:dyDescent="0.15">
      <c r="A145" t="s">
        <v>14</v>
      </c>
      <c r="B145" t="s">
        <v>15</v>
      </c>
      <c r="C145">
        <v>160358</v>
      </c>
      <c r="D145" t="s">
        <v>8</v>
      </c>
      <c r="E145" t="s">
        <v>33</v>
      </c>
      <c r="F145">
        <v>2020</v>
      </c>
    </row>
    <row r="146" spans="1:6" ht="13" x14ac:dyDescent="0.15">
      <c r="A146" t="s">
        <v>16</v>
      </c>
      <c r="B146" t="s">
        <v>7</v>
      </c>
      <c r="C146">
        <v>1789</v>
      </c>
      <c r="D146" t="s">
        <v>8</v>
      </c>
      <c r="E146" t="s">
        <v>33</v>
      </c>
      <c r="F146">
        <v>2020</v>
      </c>
    </row>
    <row r="147" spans="1:6" ht="13" x14ac:dyDescent="0.15">
      <c r="A147" t="s">
        <v>16</v>
      </c>
      <c r="B147" t="s">
        <v>11</v>
      </c>
      <c r="C147">
        <v>6958</v>
      </c>
      <c r="D147" t="s">
        <v>8</v>
      </c>
      <c r="E147" t="s">
        <v>33</v>
      </c>
      <c r="F147">
        <v>2020</v>
      </c>
    </row>
    <row r="148" spans="1:6" ht="13" x14ac:dyDescent="0.15">
      <c r="A148" t="s">
        <v>16</v>
      </c>
      <c r="B148" t="s">
        <v>13</v>
      </c>
      <c r="C148">
        <v>99057</v>
      </c>
      <c r="D148" t="s">
        <v>8</v>
      </c>
      <c r="E148" t="s">
        <v>33</v>
      </c>
      <c r="F148">
        <v>2020</v>
      </c>
    </row>
    <row r="149" spans="1:6" ht="13" x14ac:dyDescent="0.15">
      <c r="A149" t="s">
        <v>16</v>
      </c>
      <c r="B149" t="s">
        <v>15</v>
      </c>
      <c r="C149">
        <v>83603</v>
      </c>
      <c r="D149" t="s">
        <v>8</v>
      </c>
      <c r="E149" t="s">
        <v>33</v>
      </c>
      <c r="F149">
        <v>2020</v>
      </c>
    </row>
    <row r="150" spans="1:6" ht="13" x14ac:dyDescent="0.15">
      <c r="A150" t="s">
        <v>17</v>
      </c>
      <c r="B150" t="s">
        <v>7</v>
      </c>
      <c r="C150">
        <v>2696</v>
      </c>
      <c r="D150" t="s">
        <v>8</v>
      </c>
      <c r="E150" t="s">
        <v>33</v>
      </c>
      <c r="F150">
        <v>2020</v>
      </c>
    </row>
    <row r="151" spans="1:6" ht="13" x14ac:dyDescent="0.15">
      <c r="A151" t="s">
        <v>17</v>
      </c>
      <c r="B151" t="s">
        <v>11</v>
      </c>
      <c r="C151">
        <v>11309</v>
      </c>
      <c r="D151" t="s">
        <v>8</v>
      </c>
      <c r="E151" t="s">
        <v>33</v>
      </c>
      <c r="F151">
        <v>2020</v>
      </c>
    </row>
    <row r="152" spans="1:6" ht="13" x14ac:dyDescent="0.15">
      <c r="A152" t="s">
        <v>17</v>
      </c>
      <c r="B152" t="s">
        <v>13</v>
      </c>
      <c r="C152">
        <v>279116</v>
      </c>
      <c r="D152" t="s">
        <v>8</v>
      </c>
      <c r="E152" t="s">
        <v>33</v>
      </c>
      <c r="F152">
        <v>2020</v>
      </c>
    </row>
    <row r="153" spans="1:6" ht="13" x14ac:dyDescent="0.15">
      <c r="A153" t="s">
        <v>17</v>
      </c>
      <c r="B153" t="s">
        <v>15</v>
      </c>
      <c r="C153">
        <v>235635</v>
      </c>
      <c r="D153" t="s">
        <v>8</v>
      </c>
      <c r="E153" t="s">
        <v>33</v>
      </c>
      <c r="F153">
        <v>2020</v>
      </c>
    </row>
    <row r="154" spans="1:6" ht="13" x14ac:dyDescent="0.15">
      <c r="A154" t="s">
        <v>18</v>
      </c>
      <c r="B154" t="s">
        <v>7</v>
      </c>
      <c r="C154">
        <v>5005</v>
      </c>
      <c r="D154" t="s">
        <v>8</v>
      </c>
      <c r="E154" t="s">
        <v>33</v>
      </c>
      <c r="F154">
        <v>2020</v>
      </c>
    </row>
    <row r="155" spans="1:6" ht="13" x14ac:dyDescent="0.15">
      <c r="A155" t="s">
        <v>18</v>
      </c>
      <c r="B155" t="s">
        <v>11</v>
      </c>
      <c r="C155">
        <v>19327</v>
      </c>
      <c r="D155" t="s">
        <v>8</v>
      </c>
      <c r="E155" t="s">
        <v>33</v>
      </c>
      <c r="F155">
        <v>2020</v>
      </c>
    </row>
    <row r="156" spans="1:6" ht="13" x14ac:dyDescent="0.15">
      <c r="A156" t="s">
        <v>18</v>
      </c>
      <c r="B156" t="s">
        <v>13</v>
      </c>
      <c r="C156">
        <v>312673</v>
      </c>
      <c r="D156" t="s">
        <v>8</v>
      </c>
      <c r="E156" t="s">
        <v>33</v>
      </c>
      <c r="F156">
        <v>2020</v>
      </c>
    </row>
    <row r="157" spans="1:6" ht="13" x14ac:dyDescent="0.15">
      <c r="A157" t="s">
        <v>18</v>
      </c>
      <c r="B157" t="s">
        <v>15</v>
      </c>
      <c r="C157">
        <v>267610</v>
      </c>
      <c r="D157" t="s">
        <v>8</v>
      </c>
      <c r="E157" t="s">
        <v>33</v>
      </c>
      <c r="F157">
        <v>2020</v>
      </c>
    </row>
    <row r="158" spans="1:6" ht="13" x14ac:dyDescent="0.15">
      <c r="A158" t="s">
        <v>20</v>
      </c>
      <c r="B158" t="s">
        <v>7</v>
      </c>
      <c r="C158">
        <v>4977</v>
      </c>
      <c r="D158" t="s">
        <v>8</v>
      </c>
      <c r="E158" t="s">
        <v>33</v>
      </c>
      <c r="F158">
        <v>2020</v>
      </c>
    </row>
    <row r="159" spans="1:6" ht="13" x14ac:dyDescent="0.15">
      <c r="A159" t="s">
        <v>20</v>
      </c>
      <c r="B159" t="s">
        <v>11</v>
      </c>
      <c r="C159">
        <v>18305</v>
      </c>
      <c r="D159" t="s">
        <v>8</v>
      </c>
      <c r="E159" t="s">
        <v>33</v>
      </c>
      <c r="F159">
        <v>2020</v>
      </c>
    </row>
    <row r="160" spans="1:6" ht="13" x14ac:dyDescent="0.15">
      <c r="A160" t="s">
        <v>20</v>
      </c>
      <c r="B160" t="s">
        <v>13</v>
      </c>
      <c r="C160">
        <v>172066</v>
      </c>
      <c r="D160" t="s">
        <v>8</v>
      </c>
      <c r="E160" t="s">
        <v>33</v>
      </c>
      <c r="F160">
        <v>2020</v>
      </c>
    </row>
    <row r="161" spans="1:6" ht="13" x14ac:dyDescent="0.15">
      <c r="A161" t="s">
        <v>20</v>
      </c>
      <c r="B161" t="s">
        <v>15</v>
      </c>
      <c r="C161">
        <v>154608</v>
      </c>
      <c r="D161" t="s">
        <v>8</v>
      </c>
      <c r="E161" t="s">
        <v>33</v>
      </c>
      <c r="F161">
        <v>2020</v>
      </c>
    </row>
    <row r="162" spans="1:6" ht="13" x14ac:dyDescent="0.15">
      <c r="A162" t="s">
        <v>21</v>
      </c>
      <c r="B162" t="s">
        <v>7</v>
      </c>
      <c r="C162">
        <v>5295</v>
      </c>
      <c r="D162" t="s">
        <v>8</v>
      </c>
      <c r="E162" t="s">
        <v>33</v>
      </c>
      <c r="F162">
        <v>2020</v>
      </c>
    </row>
    <row r="163" spans="1:6" ht="13" x14ac:dyDescent="0.15">
      <c r="A163" t="s">
        <v>21</v>
      </c>
      <c r="B163" t="s">
        <v>11</v>
      </c>
      <c r="C163">
        <v>18245</v>
      </c>
      <c r="D163" t="s">
        <v>8</v>
      </c>
      <c r="E163" t="s">
        <v>33</v>
      </c>
      <c r="F163">
        <v>2020</v>
      </c>
    </row>
    <row r="164" spans="1:6" ht="13" x14ac:dyDescent="0.15">
      <c r="A164" t="s">
        <v>21</v>
      </c>
      <c r="B164" t="s">
        <v>13</v>
      </c>
      <c r="C164">
        <v>360610</v>
      </c>
      <c r="D164" t="s">
        <v>8</v>
      </c>
      <c r="E164" t="s">
        <v>33</v>
      </c>
      <c r="F164">
        <v>2020</v>
      </c>
    </row>
    <row r="165" spans="1:6" ht="13" x14ac:dyDescent="0.15">
      <c r="A165" t="s">
        <v>21</v>
      </c>
      <c r="B165" t="s">
        <v>15</v>
      </c>
      <c r="C165">
        <v>341244</v>
      </c>
      <c r="D165" t="s">
        <v>8</v>
      </c>
      <c r="E165" t="s">
        <v>33</v>
      </c>
      <c r="F165">
        <v>2020</v>
      </c>
    </row>
    <row r="166" spans="1:6" ht="13" x14ac:dyDescent="0.15">
      <c r="A166" t="s">
        <v>22</v>
      </c>
      <c r="B166" t="s">
        <v>7</v>
      </c>
      <c r="C166">
        <v>6047</v>
      </c>
      <c r="D166" t="s">
        <v>30</v>
      </c>
      <c r="E166" t="s">
        <v>33</v>
      </c>
      <c r="F166">
        <v>2020</v>
      </c>
    </row>
    <row r="167" spans="1:6" ht="13" x14ac:dyDescent="0.15">
      <c r="A167" t="s">
        <v>22</v>
      </c>
      <c r="B167" t="s">
        <v>11</v>
      </c>
      <c r="C167">
        <v>20239</v>
      </c>
      <c r="D167" t="s">
        <v>30</v>
      </c>
      <c r="E167" t="s">
        <v>33</v>
      </c>
      <c r="F167">
        <v>2020</v>
      </c>
    </row>
    <row r="168" spans="1:6" ht="13" x14ac:dyDescent="0.15">
      <c r="A168" t="s">
        <v>22</v>
      </c>
      <c r="B168" t="s">
        <v>13</v>
      </c>
      <c r="C168">
        <v>312630</v>
      </c>
      <c r="D168" t="s">
        <v>30</v>
      </c>
      <c r="E168" t="s">
        <v>33</v>
      </c>
      <c r="F168">
        <v>2020</v>
      </c>
    </row>
    <row r="169" spans="1:6" ht="13" x14ac:dyDescent="0.15">
      <c r="A169" t="s">
        <v>22</v>
      </c>
      <c r="B169" t="s">
        <v>15</v>
      </c>
      <c r="C169">
        <v>278795</v>
      </c>
      <c r="D169" t="s">
        <v>30</v>
      </c>
      <c r="E169" t="s">
        <v>33</v>
      </c>
      <c r="F169">
        <v>2020</v>
      </c>
    </row>
    <row r="170" spans="1:6" ht="13" x14ac:dyDescent="0.15">
      <c r="A170" t="s">
        <v>23</v>
      </c>
      <c r="B170" t="s">
        <v>7</v>
      </c>
      <c r="C170">
        <v>3510</v>
      </c>
      <c r="D170" t="s">
        <v>30</v>
      </c>
      <c r="E170" t="s">
        <v>33</v>
      </c>
      <c r="F170">
        <v>2020</v>
      </c>
    </row>
    <row r="171" spans="1:6" ht="13" x14ac:dyDescent="0.15">
      <c r="A171" t="s">
        <v>23</v>
      </c>
      <c r="B171" t="s">
        <v>11</v>
      </c>
      <c r="C171">
        <v>17628</v>
      </c>
      <c r="D171" t="s">
        <v>30</v>
      </c>
      <c r="E171" t="s">
        <v>33</v>
      </c>
      <c r="F171">
        <v>2020</v>
      </c>
    </row>
    <row r="172" spans="1:6" ht="13" x14ac:dyDescent="0.15">
      <c r="A172" t="s">
        <v>23</v>
      </c>
      <c r="B172" t="s">
        <v>13</v>
      </c>
      <c r="C172">
        <v>274540</v>
      </c>
      <c r="D172" t="s">
        <v>30</v>
      </c>
      <c r="E172" t="s">
        <v>33</v>
      </c>
      <c r="F172">
        <v>2020</v>
      </c>
    </row>
    <row r="173" spans="1:6" ht="13" x14ac:dyDescent="0.15">
      <c r="A173" t="s">
        <v>23</v>
      </c>
      <c r="B173" t="s">
        <v>15</v>
      </c>
      <c r="C173">
        <v>238941</v>
      </c>
      <c r="D173" t="s">
        <v>30</v>
      </c>
      <c r="E173" t="s">
        <v>33</v>
      </c>
      <c r="F173">
        <v>2020</v>
      </c>
    </row>
    <row r="174" spans="1:6" ht="13" x14ac:dyDescent="0.15">
      <c r="A174" t="s">
        <v>24</v>
      </c>
      <c r="B174" t="s">
        <v>7</v>
      </c>
      <c r="C174">
        <v>3128</v>
      </c>
      <c r="D174" t="s">
        <v>30</v>
      </c>
      <c r="E174" t="s">
        <v>33</v>
      </c>
      <c r="F174">
        <v>2020</v>
      </c>
    </row>
    <row r="175" spans="1:6" ht="13" x14ac:dyDescent="0.15">
      <c r="A175" t="s">
        <v>24</v>
      </c>
      <c r="B175" t="s">
        <v>11</v>
      </c>
      <c r="C175">
        <v>13622</v>
      </c>
      <c r="D175" t="s">
        <v>30</v>
      </c>
      <c r="E175" t="s">
        <v>33</v>
      </c>
      <c r="F175">
        <v>2020</v>
      </c>
    </row>
    <row r="176" spans="1:6" ht="13" x14ac:dyDescent="0.15">
      <c r="A176" t="s">
        <v>24</v>
      </c>
      <c r="B176" t="s">
        <v>13</v>
      </c>
      <c r="C176">
        <v>245401</v>
      </c>
      <c r="D176" t="s">
        <v>30</v>
      </c>
      <c r="E176" t="s">
        <v>33</v>
      </c>
      <c r="F176">
        <v>2020</v>
      </c>
    </row>
    <row r="177" spans="1:6" ht="13" x14ac:dyDescent="0.15">
      <c r="A177" t="s">
        <v>24</v>
      </c>
      <c r="B177" t="s">
        <v>15</v>
      </c>
      <c r="C177">
        <v>236187</v>
      </c>
      <c r="D177" t="s">
        <v>30</v>
      </c>
      <c r="E177" t="s">
        <v>33</v>
      </c>
      <c r="F177">
        <v>2020</v>
      </c>
    </row>
    <row r="178" spans="1:6" ht="13" x14ac:dyDescent="0.15">
      <c r="A178" t="s">
        <v>19</v>
      </c>
      <c r="B178" t="s">
        <v>7</v>
      </c>
      <c r="C178">
        <v>4485</v>
      </c>
      <c r="D178" t="s">
        <v>31</v>
      </c>
      <c r="E178" t="s">
        <v>33</v>
      </c>
      <c r="F178">
        <v>2020</v>
      </c>
    </row>
    <row r="179" spans="1:6" ht="13" x14ac:dyDescent="0.15">
      <c r="A179" t="s">
        <v>19</v>
      </c>
      <c r="B179" t="s">
        <v>11</v>
      </c>
      <c r="C179">
        <v>16991</v>
      </c>
      <c r="D179" t="s">
        <v>31</v>
      </c>
      <c r="E179" t="s">
        <v>33</v>
      </c>
      <c r="F179">
        <v>2020</v>
      </c>
    </row>
    <row r="180" spans="1:6" ht="13" x14ac:dyDescent="0.15">
      <c r="A180" t="s">
        <v>19</v>
      </c>
      <c r="B180" t="s">
        <v>13</v>
      </c>
      <c r="C180">
        <v>255390</v>
      </c>
      <c r="D180" t="s">
        <v>31</v>
      </c>
      <c r="E180" t="s">
        <v>33</v>
      </c>
      <c r="F180">
        <v>2020</v>
      </c>
    </row>
    <row r="181" spans="1:6" ht="13" x14ac:dyDescent="0.15">
      <c r="A181" t="s">
        <v>19</v>
      </c>
      <c r="B181" t="s">
        <v>15</v>
      </c>
      <c r="C181">
        <v>209316</v>
      </c>
      <c r="D181" t="s">
        <v>31</v>
      </c>
      <c r="E181" t="s">
        <v>33</v>
      </c>
      <c r="F181">
        <v>2020</v>
      </c>
    </row>
    <row r="182" spans="1:6" ht="13" x14ac:dyDescent="0.15">
      <c r="A182" t="s">
        <v>25</v>
      </c>
      <c r="B182" t="s">
        <v>7</v>
      </c>
      <c r="C182">
        <v>1633</v>
      </c>
      <c r="D182" t="s">
        <v>31</v>
      </c>
      <c r="E182" t="s">
        <v>33</v>
      </c>
      <c r="F182">
        <v>2020</v>
      </c>
    </row>
    <row r="183" spans="1:6" ht="13" x14ac:dyDescent="0.15">
      <c r="A183" t="s">
        <v>25</v>
      </c>
      <c r="B183" t="s">
        <v>11</v>
      </c>
      <c r="C183">
        <v>8420</v>
      </c>
      <c r="D183" t="s">
        <v>31</v>
      </c>
      <c r="E183" t="s">
        <v>33</v>
      </c>
      <c r="F183">
        <v>2020</v>
      </c>
    </row>
    <row r="184" spans="1:6" ht="13" x14ac:dyDescent="0.15">
      <c r="A184" t="s">
        <v>25</v>
      </c>
      <c r="B184" t="s">
        <v>13</v>
      </c>
      <c r="C184">
        <v>213240</v>
      </c>
      <c r="D184" t="s">
        <v>31</v>
      </c>
      <c r="E184" t="s">
        <v>33</v>
      </c>
      <c r="F184">
        <v>2020</v>
      </c>
    </row>
    <row r="185" spans="1:6" ht="13" x14ac:dyDescent="0.15">
      <c r="A185" t="s">
        <v>25</v>
      </c>
      <c r="B185" t="s">
        <v>15</v>
      </c>
      <c r="C185">
        <v>213822</v>
      </c>
      <c r="D185" t="s">
        <v>31</v>
      </c>
      <c r="E185" t="s">
        <v>33</v>
      </c>
      <c r="F185">
        <v>2020</v>
      </c>
    </row>
    <row r="186" spans="1:6" ht="13" x14ac:dyDescent="0.15">
      <c r="A186" t="s">
        <v>26</v>
      </c>
      <c r="B186" t="s">
        <v>7</v>
      </c>
      <c r="C186">
        <v>1820</v>
      </c>
      <c r="D186" t="s">
        <v>31</v>
      </c>
      <c r="E186" t="s">
        <v>33</v>
      </c>
      <c r="F186">
        <v>2020</v>
      </c>
    </row>
    <row r="187" spans="1:6" ht="13" x14ac:dyDescent="0.15">
      <c r="A187" t="s">
        <v>26</v>
      </c>
      <c r="B187" t="s">
        <v>11</v>
      </c>
      <c r="C187">
        <v>9741</v>
      </c>
      <c r="D187" t="s">
        <v>31</v>
      </c>
      <c r="E187" t="s">
        <v>33</v>
      </c>
      <c r="F187">
        <v>2020</v>
      </c>
    </row>
    <row r="188" spans="1:6" ht="13" x14ac:dyDescent="0.15">
      <c r="A188" t="s">
        <v>26</v>
      </c>
      <c r="B188" t="s">
        <v>13</v>
      </c>
      <c r="C188">
        <v>208606</v>
      </c>
      <c r="D188" t="s">
        <v>31</v>
      </c>
      <c r="E188" t="s">
        <v>33</v>
      </c>
      <c r="F188">
        <v>2020</v>
      </c>
    </row>
    <row r="189" spans="1:6" ht="13" x14ac:dyDescent="0.15">
      <c r="A189" t="s">
        <v>26</v>
      </c>
      <c r="B189" t="s">
        <v>15</v>
      </c>
      <c r="C189">
        <v>179741</v>
      </c>
      <c r="D189" t="s">
        <v>31</v>
      </c>
      <c r="E189" t="s">
        <v>33</v>
      </c>
      <c r="F189">
        <v>2020</v>
      </c>
    </row>
    <row r="190" spans="1:6" ht="13" x14ac:dyDescent="0.15">
      <c r="A190" t="s">
        <v>27</v>
      </c>
      <c r="B190" t="s">
        <v>7</v>
      </c>
      <c r="C190">
        <v>989</v>
      </c>
      <c r="D190" t="s">
        <v>31</v>
      </c>
      <c r="E190" t="s">
        <v>33</v>
      </c>
      <c r="F190">
        <v>2020</v>
      </c>
    </row>
    <row r="191" spans="1:6" ht="13" x14ac:dyDescent="0.15">
      <c r="A191" t="s">
        <v>27</v>
      </c>
      <c r="B191" t="s">
        <v>11</v>
      </c>
      <c r="C191">
        <v>5238</v>
      </c>
      <c r="D191" t="s">
        <v>31</v>
      </c>
      <c r="E191" t="s">
        <v>33</v>
      </c>
      <c r="F191">
        <v>2020</v>
      </c>
    </row>
    <row r="192" spans="1:6" ht="13" x14ac:dyDescent="0.15">
      <c r="A192" t="s">
        <v>27</v>
      </c>
      <c r="B192" t="s">
        <v>13</v>
      </c>
      <c r="C192">
        <v>192692</v>
      </c>
      <c r="D192" t="s">
        <v>31</v>
      </c>
      <c r="E192" t="s">
        <v>33</v>
      </c>
      <c r="F192">
        <v>2020</v>
      </c>
    </row>
    <row r="193" spans="1:6" ht="13" x14ac:dyDescent="0.15">
      <c r="A193" t="s">
        <v>27</v>
      </c>
      <c r="B193" t="s">
        <v>15</v>
      </c>
      <c r="C193">
        <v>196249</v>
      </c>
      <c r="D193" t="s">
        <v>31</v>
      </c>
      <c r="E193" t="s">
        <v>33</v>
      </c>
      <c r="F193">
        <v>2020</v>
      </c>
    </row>
    <row r="194" spans="1:6" ht="13" x14ac:dyDescent="0.15">
      <c r="A194" t="s">
        <v>10</v>
      </c>
      <c r="B194" t="s">
        <v>7</v>
      </c>
      <c r="C194">
        <v>498</v>
      </c>
      <c r="D194" t="s">
        <v>31</v>
      </c>
      <c r="E194" t="s">
        <v>33</v>
      </c>
      <c r="F194">
        <v>2020</v>
      </c>
    </row>
    <row r="195" spans="1:6" ht="13" x14ac:dyDescent="0.15">
      <c r="A195" t="s">
        <v>10</v>
      </c>
      <c r="B195" t="s">
        <v>11</v>
      </c>
      <c r="C195">
        <v>1966</v>
      </c>
      <c r="D195" t="s">
        <v>31</v>
      </c>
      <c r="E195" t="s">
        <v>33</v>
      </c>
      <c r="F195">
        <v>2020</v>
      </c>
    </row>
    <row r="196" spans="1:6" ht="13" x14ac:dyDescent="0.15">
      <c r="A196" t="s">
        <v>10</v>
      </c>
      <c r="B196" t="s">
        <v>13</v>
      </c>
      <c r="C196">
        <v>296621</v>
      </c>
      <c r="D196" t="s">
        <v>31</v>
      </c>
      <c r="E196" t="s">
        <v>33</v>
      </c>
      <c r="F196">
        <v>2020</v>
      </c>
    </row>
    <row r="197" spans="1:6" ht="13" x14ac:dyDescent="0.15">
      <c r="A197" t="s">
        <v>10</v>
      </c>
      <c r="B197" t="s">
        <v>15</v>
      </c>
      <c r="C197">
        <v>356016</v>
      </c>
      <c r="D197" t="s">
        <v>31</v>
      </c>
      <c r="E197" t="s">
        <v>33</v>
      </c>
      <c r="F197">
        <v>2020</v>
      </c>
    </row>
    <row r="198" spans="1:6" ht="13" x14ac:dyDescent="0.15">
      <c r="A198" t="s">
        <v>6</v>
      </c>
      <c r="B198" t="s">
        <v>7</v>
      </c>
      <c r="C198">
        <v>2178</v>
      </c>
      <c r="D198" t="s">
        <v>8</v>
      </c>
      <c r="E198" t="s">
        <v>34</v>
      </c>
      <c r="F198">
        <v>2020</v>
      </c>
    </row>
    <row r="199" spans="1:6" ht="13" x14ac:dyDescent="0.15">
      <c r="A199" t="s">
        <v>6</v>
      </c>
      <c r="B199" t="s">
        <v>11</v>
      </c>
      <c r="C199">
        <v>8282</v>
      </c>
      <c r="D199" t="s">
        <v>8</v>
      </c>
      <c r="E199" t="s">
        <v>34</v>
      </c>
      <c r="F199">
        <v>2020</v>
      </c>
    </row>
    <row r="200" spans="1:6" ht="13" x14ac:dyDescent="0.15">
      <c r="A200" t="s">
        <v>6</v>
      </c>
      <c r="B200" t="s">
        <v>13</v>
      </c>
      <c r="C200">
        <v>199235</v>
      </c>
      <c r="D200" t="s">
        <v>8</v>
      </c>
      <c r="E200" t="s">
        <v>34</v>
      </c>
      <c r="F200">
        <v>2020</v>
      </c>
    </row>
    <row r="201" spans="1:6" ht="13" x14ac:dyDescent="0.15">
      <c r="A201" t="s">
        <v>6</v>
      </c>
      <c r="B201" t="s">
        <v>15</v>
      </c>
      <c r="C201">
        <v>173033</v>
      </c>
      <c r="D201" t="s">
        <v>8</v>
      </c>
      <c r="E201" t="s">
        <v>34</v>
      </c>
      <c r="F201">
        <v>2020</v>
      </c>
    </row>
    <row r="202" spans="1:6" ht="13" x14ac:dyDescent="0.15">
      <c r="A202" t="s">
        <v>12</v>
      </c>
      <c r="B202" t="s">
        <v>7</v>
      </c>
      <c r="C202">
        <v>1273</v>
      </c>
      <c r="D202" t="s">
        <v>8</v>
      </c>
      <c r="E202" t="s">
        <v>34</v>
      </c>
      <c r="F202">
        <v>2020</v>
      </c>
    </row>
    <row r="203" spans="1:6" ht="13" x14ac:dyDescent="0.15">
      <c r="A203" t="s">
        <v>12</v>
      </c>
      <c r="B203" t="s">
        <v>11</v>
      </c>
      <c r="C203">
        <v>4511</v>
      </c>
      <c r="D203" t="s">
        <v>8</v>
      </c>
      <c r="E203" t="s">
        <v>34</v>
      </c>
      <c r="F203">
        <v>2020</v>
      </c>
    </row>
    <row r="204" spans="1:6" ht="13" x14ac:dyDescent="0.15">
      <c r="A204" t="s">
        <v>12</v>
      </c>
      <c r="B204" t="s">
        <v>13</v>
      </c>
      <c r="C204">
        <v>47444</v>
      </c>
      <c r="D204" t="s">
        <v>8</v>
      </c>
      <c r="E204" t="s">
        <v>34</v>
      </c>
      <c r="F204">
        <v>2020</v>
      </c>
    </row>
    <row r="205" spans="1:6" ht="13" x14ac:dyDescent="0.15">
      <c r="A205" t="s">
        <v>12</v>
      </c>
      <c r="B205" t="s">
        <v>15</v>
      </c>
      <c r="C205">
        <v>48590</v>
      </c>
      <c r="D205" t="s">
        <v>8</v>
      </c>
      <c r="E205" t="s">
        <v>34</v>
      </c>
      <c r="F205">
        <v>2020</v>
      </c>
    </row>
    <row r="206" spans="1:6" ht="13" x14ac:dyDescent="0.15">
      <c r="A206" t="s">
        <v>14</v>
      </c>
      <c r="B206" t="s">
        <v>7</v>
      </c>
      <c r="C206">
        <v>5050</v>
      </c>
      <c r="D206" t="s">
        <v>8</v>
      </c>
      <c r="E206" t="s">
        <v>34</v>
      </c>
      <c r="F206">
        <v>2020</v>
      </c>
    </row>
    <row r="207" spans="1:6" ht="13" x14ac:dyDescent="0.15">
      <c r="A207" t="s">
        <v>14</v>
      </c>
      <c r="B207" t="s">
        <v>11</v>
      </c>
      <c r="C207">
        <v>16656</v>
      </c>
      <c r="D207" t="s">
        <v>8</v>
      </c>
      <c r="E207" t="s">
        <v>34</v>
      </c>
      <c r="F207">
        <v>2020</v>
      </c>
    </row>
    <row r="208" spans="1:6" ht="13" x14ac:dyDescent="0.15">
      <c r="A208" t="s">
        <v>14</v>
      </c>
      <c r="B208" t="s">
        <v>13</v>
      </c>
      <c r="C208">
        <v>196413</v>
      </c>
      <c r="D208" t="s">
        <v>8</v>
      </c>
      <c r="E208" t="s">
        <v>34</v>
      </c>
      <c r="F208">
        <v>2020</v>
      </c>
    </row>
    <row r="209" spans="1:6" ht="13" x14ac:dyDescent="0.15">
      <c r="A209" t="s">
        <v>14</v>
      </c>
      <c r="B209" t="s">
        <v>15</v>
      </c>
      <c r="C209">
        <v>156863</v>
      </c>
      <c r="D209" t="s">
        <v>8</v>
      </c>
      <c r="E209" t="s">
        <v>34</v>
      </c>
      <c r="F209">
        <v>2020</v>
      </c>
    </row>
    <row r="210" spans="1:6" ht="13" x14ac:dyDescent="0.15">
      <c r="A210" t="s">
        <v>16</v>
      </c>
      <c r="B210" t="s">
        <v>7</v>
      </c>
      <c r="C210">
        <v>1924</v>
      </c>
      <c r="D210" t="s">
        <v>8</v>
      </c>
      <c r="E210" t="s">
        <v>34</v>
      </c>
      <c r="F210">
        <v>2020</v>
      </c>
    </row>
    <row r="211" spans="1:6" ht="13" x14ac:dyDescent="0.15">
      <c r="A211" t="s">
        <v>16</v>
      </c>
      <c r="B211" t="s">
        <v>11</v>
      </c>
      <c r="C211">
        <v>6962</v>
      </c>
      <c r="D211" t="s">
        <v>8</v>
      </c>
      <c r="E211" t="s">
        <v>34</v>
      </c>
      <c r="F211">
        <v>2020</v>
      </c>
    </row>
    <row r="212" spans="1:6" ht="13" x14ac:dyDescent="0.15">
      <c r="A212" t="s">
        <v>16</v>
      </c>
      <c r="B212" t="s">
        <v>13</v>
      </c>
      <c r="C212">
        <v>98456</v>
      </c>
      <c r="D212" t="s">
        <v>8</v>
      </c>
      <c r="E212" t="s">
        <v>34</v>
      </c>
      <c r="F212">
        <v>2020</v>
      </c>
    </row>
    <row r="213" spans="1:6" ht="13" x14ac:dyDescent="0.15">
      <c r="A213" t="s">
        <v>16</v>
      </c>
      <c r="B213" t="s">
        <v>15</v>
      </c>
      <c r="C213">
        <v>81893</v>
      </c>
      <c r="D213" t="s">
        <v>8</v>
      </c>
      <c r="E213" t="s">
        <v>34</v>
      </c>
      <c r="F213">
        <v>2020</v>
      </c>
    </row>
    <row r="214" spans="1:6" ht="13" x14ac:dyDescent="0.15">
      <c r="A214" t="s">
        <v>17</v>
      </c>
      <c r="B214" t="s">
        <v>7</v>
      </c>
      <c r="C214">
        <v>3100</v>
      </c>
      <c r="D214" t="s">
        <v>8</v>
      </c>
      <c r="E214" t="s">
        <v>34</v>
      </c>
      <c r="F214">
        <v>2020</v>
      </c>
    </row>
    <row r="215" spans="1:6" ht="13" x14ac:dyDescent="0.15">
      <c r="A215" t="s">
        <v>17</v>
      </c>
      <c r="B215" t="s">
        <v>11</v>
      </c>
      <c r="C215">
        <v>11467</v>
      </c>
      <c r="D215" t="s">
        <v>8</v>
      </c>
      <c r="E215" t="s">
        <v>34</v>
      </c>
      <c r="F215">
        <v>2020</v>
      </c>
    </row>
    <row r="216" spans="1:6" ht="13" x14ac:dyDescent="0.15">
      <c r="A216" t="s">
        <v>17</v>
      </c>
      <c r="B216" t="s">
        <v>13</v>
      </c>
      <c r="C216">
        <v>274298</v>
      </c>
      <c r="D216" t="s">
        <v>8</v>
      </c>
      <c r="E216" t="s">
        <v>34</v>
      </c>
      <c r="F216">
        <v>2020</v>
      </c>
    </row>
    <row r="217" spans="1:6" ht="13" x14ac:dyDescent="0.15">
      <c r="A217" t="s">
        <v>17</v>
      </c>
      <c r="B217" t="s">
        <v>15</v>
      </c>
      <c r="C217">
        <v>230708</v>
      </c>
      <c r="D217" t="s">
        <v>8</v>
      </c>
      <c r="E217" t="s">
        <v>34</v>
      </c>
      <c r="F217">
        <v>2020</v>
      </c>
    </row>
    <row r="218" spans="1:6" ht="13" x14ac:dyDescent="0.15">
      <c r="A218" t="s">
        <v>18</v>
      </c>
      <c r="B218" t="s">
        <v>7</v>
      </c>
      <c r="C218">
        <v>4698</v>
      </c>
      <c r="D218" t="s">
        <v>8</v>
      </c>
      <c r="E218" t="s">
        <v>34</v>
      </c>
      <c r="F218">
        <v>2020</v>
      </c>
    </row>
    <row r="219" spans="1:6" ht="13" x14ac:dyDescent="0.15">
      <c r="A219" t="s">
        <v>18</v>
      </c>
      <c r="B219" t="s">
        <v>11</v>
      </c>
      <c r="C219">
        <v>19014</v>
      </c>
      <c r="D219" t="s">
        <v>8</v>
      </c>
      <c r="E219" t="s">
        <v>34</v>
      </c>
      <c r="F219">
        <v>2020</v>
      </c>
    </row>
    <row r="220" spans="1:6" ht="13" x14ac:dyDescent="0.15">
      <c r="A220" t="s">
        <v>18</v>
      </c>
      <c r="B220" t="s">
        <v>13</v>
      </c>
      <c r="C220">
        <v>305055</v>
      </c>
      <c r="D220" t="s">
        <v>8</v>
      </c>
      <c r="E220" t="s">
        <v>34</v>
      </c>
      <c r="F220">
        <v>2020</v>
      </c>
    </row>
    <row r="221" spans="1:6" ht="13" x14ac:dyDescent="0.15">
      <c r="A221" t="s">
        <v>18</v>
      </c>
      <c r="B221" t="s">
        <v>15</v>
      </c>
      <c r="C221">
        <v>260970</v>
      </c>
      <c r="D221" t="s">
        <v>8</v>
      </c>
      <c r="E221" t="s">
        <v>34</v>
      </c>
      <c r="F221">
        <v>2020</v>
      </c>
    </row>
    <row r="222" spans="1:6" ht="13" x14ac:dyDescent="0.15">
      <c r="A222" t="s">
        <v>20</v>
      </c>
      <c r="B222" t="s">
        <v>7</v>
      </c>
      <c r="C222">
        <v>4491</v>
      </c>
      <c r="D222" t="s">
        <v>8</v>
      </c>
      <c r="E222" t="s">
        <v>34</v>
      </c>
      <c r="F222">
        <v>2020</v>
      </c>
    </row>
    <row r="223" spans="1:6" ht="13" x14ac:dyDescent="0.15">
      <c r="A223" t="s">
        <v>20</v>
      </c>
      <c r="B223" t="s">
        <v>11</v>
      </c>
      <c r="C223">
        <v>17506</v>
      </c>
      <c r="D223" t="s">
        <v>8</v>
      </c>
      <c r="E223" t="s">
        <v>34</v>
      </c>
      <c r="F223">
        <v>2020</v>
      </c>
    </row>
    <row r="224" spans="1:6" ht="13" x14ac:dyDescent="0.15">
      <c r="A224" t="s">
        <v>20</v>
      </c>
      <c r="B224" t="s">
        <v>13</v>
      </c>
      <c r="C224">
        <v>168731</v>
      </c>
      <c r="D224" t="s">
        <v>8</v>
      </c>
      <c r="E224" t="s">
        <v>34</v>
      </c>
      <c r="F224">
        <v>2020</v>
      </c>
    </row>
    <row r="225" spans="1:6" ht="13" x14ac:dyDescent="0.15">
      <c r="A225" t="s">
        <v>20</v>
      </c>
      <c r="B225" t="s">
        <v>15</v>
      </c>
      <c r="C225">
        <v>150706</v>
      </c>
      <c r="D225" t="s">
        <v>8</v>
      </c>
      <c r="E225" t="s">
        <v>34</v>
      </c>
      <c r="F225">
        <v>2020</v>
      </c>
    </row>
    <row r="226" spans="1:6" ht="13" x14ac:dyDescent="0.15">
      <c r="A226" t="s">
        <v>21</v>
      </c>
      <c r="B226" t="s">
        <v>7</v>
      </c>
      <c r="C226">
        <v>5820</v>
      </c>
      <c r="D226" t="s">
        <v>8</v>
      </c>
      <c r="E226" t="s">
        <v>34</v>
      </c>
      <c r="F226">
        <v>2020</v>
      </c>
    </row>
    <row r="227" spans="1:6" ht="13" x14ac:dyDescent="0.15">
      <c r="A227" t="s">
        <v>21</v>
      </c>
      <c r="B227" t="s">
        <v>11</v>
      </c>
      <c r="C227">
        <v>18675</v>
      </c>
      <c r="D227" t="s">
        <v>8</v>
      </c>
      <c r="E227" t="s">
        <v>34</v>
      </c>
      <c r="F227">
        <v>2020</v>
      </c>
    </row>
    <row r="228" spans="1:6" ht="13" x14ac:dyDescent="0.15">
      <c r="A228" t="s">
        <v>21</v>
      </c>
      <c r="B228" t="s">
        <v>13</v>
      </c>
      <c r="C228">
        <v>352185</v>
      </c>
      <c r="D228" t="s">
        <v>8</v>
      </c>
      <c r="E228" t="s">
        <v>34</v>
      </c>
      <c r="F228">
        <v>2020</v>
      </c>
    </row>
    <row r="229" spans="1:6" ht="13" x14ac:dyDescent="0.15">
      <c r="A229" t="s">
        <v>21</v>
      </c>
      <c r="B229" t="s">
        <v>15</v>
      </c>
      <c r="C229">
        <v>334978</v>
      </c>
      <c r="D229" t="s">
        <v>8</v>
      </c>
      <c r="E229" t="s">
        <v>34</v>
      </c>
      <c r="F229">
        <v>2020</v>
      </c>
    </row>
    <row r="230" spans="1:6" ht="13" x14ac:dyDescent="0.15">
      <c r="A230" t="s">
        <v>22</v>
      </c>
      <c r="B230" t="s">
        <v>7</v>
      </c>
      <c r="C230">
        <v>6189</v>
      </c>
      <c r="D230" t="s">
        <v>30</v>
      </c>
      <c r="E230" t="s">
        <v>34</v>
      </c>
      <c r="F230">
        <v>2020</v>
      </c>
    </row>
    <row r="231" spans="1:6" ht="13" x14ac:dyDescent="0.15">
      <c r="A231" t="s">
        <v>22</v>
      </c>
      <c r="B231" t="s">
        <v>11</v>
      </c>
      <c r="C231">
        <v>20863</v>
      </c>
      <c r="D231" t="s">
        <v>30</v>
      </c>
      <c r="E231" t="s">
        <v>34</v>
      </c>
      <c r="F231">
        <v>2020</v>
      </c>
    </row>
    <row r="232" spans="1:6" ht="13" x14ac:dyDescent="0.15">
      <c r="A232" t="s">
        <v>22</v>
      </c>
      <c r="B232" t="s">
        <v>13</v>
      </c>
      <c r="C232">
        <v>305428</v>
      </c>
      <c r="D232" t="s">
        <v>30</v>
      </c>
      <c r="E232" t="s">
        <v>34</v>
      </c>
      <c r="F232">
        <v>2020</v>
      </c>
    </row>
    <row r="233" spans="1:6" ht="13" x14ac:dyDescent="0.15">
      <c r="A233" t="s">
        <v>22</v>
      </c>
      <c r="B233" t="s">
        <v>15</v>
      </c>
      <c r="C233">
        <v>275423</v>
      </c>
      <c r="D233" t="s">
        <v>30</v>
      </c>
      <c r="E233" t="s">
        <v>34</v>
      </c>
      <c r="F233">
        <v>2020</v>
      </c>
    </row>
    <row r="234" spans="1:6" ht="13" x14ac:dyDescent="0.15">
      <c r="A234" t="s">
        <v>23</v>
      </c>
      <c r="B234" t="s">
        <v>7</v>
      </c>
      <c r="C234">
        <v>3168</v>
      </c>
      <c r="D234" t="s">
        <v>30</v>
      </c>
      <c r="E234" t="s">
        <v>34</v>
      </c>
      <c r="F234">
        <v>2020</v>
      </c>
    </row>
    <row r="235" spans="1:6" ht="13" x14ac:dyDescent="0.15">
      <c r="A235" t="s">
        <v>23</v>
      </c>
      <c r="B235" t="s">
        <v>11</v>
      </c>
      <c r="C235">
        <v>16069</v>
      </c>
      <c r="D235" t="s">
        <v>30</v>
      </c>
      <c r="E235" t="s">
        <v>34</v>
      </c>
      <c r="F235">
        <v>2020</v>
      </c>
    </row>
    <row r="236" spans="1:6" ht="13" x14ac:dyDescent="0.15">
      <c r="A236" t="s">
        <v>23</v>
      </c>
      <c r="B236" t="s">
        <v>13</v>
      </c>
      <c r="C236">
        <v>265691</v>
      </c>
      <c r="D236" t="s">
        <v>30</v>
      </c>
      <c r="E236" t="s">
        <v>34</v>
      </c>
      <c r="F236">
        <v>2020</v>
      </c>
    </row>
    <row r="237" spans="1:6" ht="13" x14ac:dyDescent="0.15">
      <c r="A237" t="s">
        <v>23</v>
      </c>
      <c r="B237" t="s">
        <v>15</v>
      </c>
      <c r="C237">
        <v>235284</v>
      </c>
      <c r="D237" t="s">
        <v>30</v>
      </c>
      <c r="E237" t="s">
        <v>34</v>
      </c>
      <c r="F237">
        <v>2020</v>
      </c>
    </row>
    <row r="238" spans="1:6" ht="13" x14ac:dyDescent="0.15">
      <c r="A238" t="s">
        <v>24</v>
      </c>
      <c r="B238" t="s">
        <v>7</v>
      </c>
      <c r="C238">
        <v>3147</v>
      </c>
      <c r="D238" t="s">
        <v>30</v>
      </c>
      <c r="E238" t="s">
        <v>34</v>
      </c>
      <c r="F238">
        <v>2020</v>
      </c>
    </row>
    <row r="239" spans="1:6" ht="13" x14ac:dyDescent="0.15">
      <c r="A239" t="s">
        <v>24</v>
      </c>
      <c r="B239" t="s">
        <v>11</v>
      </c>
      <c r="C239">
        <v>12802</v>
      </c>
      <c r="D239" t="s">
        <v>30</v>
      </c>
      <c r="E239" t="s">
        <v>34</v>
      </c>
      <c r="F239">
        <v>2020</v>
      </c>
    </row>
    <row r="240" spans="1:6" ht="13" x14ac:dyDescent="0.15">
      <c r="A240" t="s">
        <v>24</v>
      </c>
      <c r="B240" t="s">
        <v>13</v>
      </c>
      <c r="C240">
        <v>237842</v>
      </c>
      <c r="D240" t="s">
        <v>30</v>
      </c>
      <c r="E240" t="s">
        <v>34</v>
      </c>
      <c r="F240">
        <v>2020</v>
      </c>
    </row>
    <row r="241" spans="1:6" ht="13" x14ac:dyDescent="0.15">
      <c r="A241" t="s">
        <v>24</v>
      </c>
      <c r="B241" t="s">
        <v>15</v>
      </c>
      <c r="C241">
        <v>232639</v>
      </c>
      <c r="D241" t="s">
        <v>30</v>
      </c>
      <c r="E241" t="s">
        <v>34</v>
      </c>
      <c r="F241">
        <v>2020</v>
      </c>
    </row>
    <row r="242" spans="1:6" ht="13" x14ac:dyDescent="0.15">
      <c r="A242" t="s">
        <v>19</v>
      </c>
      <c r="B242" t="s">
        <v>7</v>
      </c>
      <c r="C242">
        <v>4418</v>
      </c>
      <c r="D242" t="s">
        <v>31</v>
      </c>
      <c r="E242" t="s">
        <v>34</v>
      </c>
      <c r="F242">
        <v>2020</v>
      </c>
    </row>
    <row r="243" spans="1:6" ht="13" x14ac:dyDescent="0.15">
      <c r="A243" t="s">
        <v>19</v>
      </c>
      <c r="B243" t="s">
        <v>11</v>
      </c>
      <c r="C243">
        <v>16575</v>
      </c>
      <c r="D243" t="s">
        <v>31</v>
      </c>
      <c r="E243" t="s">
        <v>34</v>
      </c>
      <c r="F243">
        <v>2020</v>
      </c>
    </row>
    <row r="244" spans="1:6" ht="13" x14ac:dyDescent="0.15">
      <c r="A244" t="s">
        <v>19</v>
      </c>
      <c r="B244" t="s">
        <v>13</v>
      </c>
      <c r="C244">
        <v>246135</v>
      </c>
      <c r="D244" t="s">
        <v>31</v>
      </c>
      <c r="E244" t="s">
        <v>34</v>
      </c>
      <c r="F244">
        <v>2020</v>
      </c>
    </row>
    <row r="245" spans="1:6" ht="13" x14ac:dyDescent="0.15">
      <c r="A245" t="s">
        <v>19</v>
      </c>
      <c r="B245" t="s">
        <v>15</v>
      </c>
      <c r="C245">
        <v>206343</v>
      </c>
      <c r="D245" t="s">
        <v>31</v>
      </c>
      <c r="E245" t="s">
        <v>34</v>
      </c>
      <c r="F245">
        <v>2020</v>
      </c>
    </row>
    <row r="246" spans="1:6" ht="13" x14ac:dyDescent="0.15">
      <c r="A246" t="s">
        <v>25</v>
      </c>
      <c r="B246" t="s">
        <v>7</v>
      </c>
      <c r="C246">
        <v>1721</v>
      </c>
      <c r="D246" t="s">
        <v>31</v>
      </c>
      <c r="E246" t="s">
        <v>34</v>
      </c>
      <c r="F246">
        <v>2020</v>
      </c>
    </row>
    <row r="247" spans="1:6" ht="13" x14ac:dyDescent="0.15">
      <c r="A247" t="s">
        <v>25</v>
      </c>
      <c r="B247" t="s">
        <v>11</v>
      </c>
      <c r="C247">
        <v>7251</v>
      </c>
      <c r="D247" t="s">
        <v>31</v>
      </c>
      <c r="E247" t="s">
        <v>34</v>
      </c>
      <c r="F247">
        <v>2020</v>
      </c>
    </row>
    <row r="248" spans="1:6" ht="13" x14ac:dyDescent="0.15">
      <c r="A248" t="s">
        <v>25</v>
      </c>
      <c r="B248" t="s">
        <v>13</v>
      </c>
      <c r="C248">
        <v>202127</v>
      </c>
      <c r="D248" t="s">
        <v>31</v>
      </c>
      <c r="E248" t="s">
        <v>34</v>
      </c>
      <c r="F248">
        <v>2020</v>
      </c>
    </row>
    <row r="249" spans="1:6" ht="13" x14ac:dyDescent="0.15">
      <c r="A249" t="s">
        <v>25</v>
      </c>
      <c r="B249" t="s">
        <v>15</v>
      </c>
      <c r="C249">
        <v>210854</v>
      </c>
      <c r="D249" t="s">
        <v>31</v>
      </c>
      <c r="E249" t="s">
        <v>34</v>
      </c>
      <c r="F249">
        <v>2020</v>
      </c>
    </row>
    <row r="250" spans="1:6" ht="13" x14ac:dyDescent="0.15">
      <c r="A250" t="s">
        <v>26</v>
      </c>
      <c r="B250" t="s">
        <v>7</v>
      </c>
      <c r="C250">
        <v>1747</v>
      </c>
      <c r="D250" t="s">
        <v>31</v>
      </c>
      <c r="E250" t="s">
        <v>34</v>
      </c>
      <c r="F250">
        <v>2020</v>
      </c>
    </row>
    <row r="251" spans="1:6" ht="13" x14ac:dyDescent="0.15">
      <c r="A251" t="s">
        <v>26</v>
      </c>
      <c r="B251" t="s">
        <v>11</v>
      </c>
      <c r="C251">
        <v>8843</v>
      </c>
      <c r="D251" t="s">
        <v>31</v>
      </c>
      <c r="E251" t="s">
        <v>34</v>
      </c>
      <c r="F251">
        <v>2020</v>
      </c>
    </row>
    <row r="252" spans="1:6" ht="13" x14ac:dyDescent="0.15">
      <c r="A252" t="s">
        <v>26</v>
      </c>
      <c r="B252" t="s">
        <v>13</v>
      </c>
      <c r="C252">
        <v>201006</v>
      </c>
      <c r="D252" t="s">
        <v>31</v>
      </c>
      <c r="E252" t="s">
        <v>34</v>
      </c>
      <c r="F252">
        <v>2020</v>
      </c>
    </row>
    <row r="253" spans="1:6" ht="13" x14ac:dyDescent="0.15">
      <c r="A253" t="s">
        <v>26</v>
      </c>
      <c r="B253" t="s">
        <v>15</v>
      </c>
      <c r="C253">
        <v>177787</v>
      </c>
      <c r="D253" t="s">
        <v>31</v>
      </c>
      <c r="E253" t="s">
        <v>34</v>
      </c>
      <c r="F253">
        <v>2020</v>
      </c>
    </row>
    <row r="254" spans="1:6" ht="13" x14ac:dyDescent="0.15">
      <c r="A254" t="s">
        <v>27</v>
      </c>
      <c r="B254" t="s">
        <v>7</v>
      </c>
      <c r="C254">
        <v>1101</v>
      </c>
      <c r="D254" t="s">
        <v>31</v>
      </c>
      <c r="E254" t="s">
        <v>34</v>
      </c>
      <c r="F254">
        <v>2020</v>
      </c>
    </row>
    <row r="255" spans="1:6" ht="13" x14ac:dyDescent="0.15">
      <c r="A255" t="s">
        <v>27</v>
      </c>
      <c r="B255" t="s">
        <v>11</v>
      </c>
      <c r="C255">
        <v>4730</v>
      </c>
      <c r="D255" t="s">
        <v>31</v>
      </c>
      <c r="E255" t="s">
        <v>34</v>
      </c>
      <c r="F255">
        <v>2020</v>
      </c>
    </row>
    <row r="256" spans="1:6" ht="13" x14ac:dyDescent="0.15">
      <c r="A256" t="s">
        <v>27</v>
      </c>
      <c r="B256" t="s">
        <v>13</v>
      </c>
      <c r="C256">
        <v>155255</v>
      </c>
      <c r="D256" t="s">
        <v>31</v>
      </c>
      <c r="E256" t="s">
        <v>34</v>
      </c>
      <c r="F256">
        <v>2020</v>
      </c>
    </row>
    <row r="257" spans="1:6" ht="13" x14ac:dyDescent="0.15">
      <c r="A257" t="s">
        <v>27</v>
      </c>
      <c r="B257" t="s">
        <v>15</v>
      </c>
      <c r="C257">
        <v>155629</v>
      </c>
      <c r="D257" t="s">
        <v>31</v>
      </c>
      <c r="E257" t="s">
        <v>34</v>
      </c>
      <c r="F257">
        <v>2020</v>
      </c>
    </row>
    <row r="258" spans="1:6" ht="13" x14ac:dyDescent="0.15">
      <c r="A258" t="s">
        <v>28</v>
      </c>
      <c r="B258" t="s">
        <v>7</v>
      </c>
      <c r="C258">
        <v>3378</v>
      </c>
      <c r="D258" t="s">
        <v>31</v>
      </c>
      <c r="E258" t="s">
        <v>34</v>
      </c>
      <c r="F258">
        <v>2020</v>
      </c>
    </row>
    <row r="259" spans="1:6" ht="13" x14ac:dyDescent="0.15">
      <c r="A259" t="s">
        <v>28</v>
      </c>
      <c r="B259" t="s">
        <v>11</v>
      </c>
      <c r="C259">
        <v>12597</v>
      </c>
      <c r="D259" t="s">
        <v>31</v>
      </c>
      <c r="E259" t="s">
        <v>34</v>
      </c>
      <c r="F259">
        <v>2020</v>
      </c>
    </row>
    <row r="260" spans="1:6" ht="13" x14ac:dyDescent="0.15">
      <c r="A260" t="s">
        <v>28</v>
      </c>
      <c r="B260" t="s">
        <v>13</v>
      </c>
      <c r="C260">
        <v>160217</v>
      </c>
      <c r="D260" t="s">
        <v>31</v>
      </c>
      <c r="E260" t="s">
        <v>34</v>
      </c>
      <c r="F260">
        <v>2020</v>
      </c>
    </row>
    <row r="261" spans="1:6" ht="13" x14ac:dyDescent="0.15">
      <c r="A261" t="s">
        <v>28</v>
      </c>
      <c r="B261" t="s">
        <v>15</v>
      </c>
      <c r="C261">
        <v>138828</v>
      </c>
      <c r="D261" t="s">
        <v>31</v>
      </c>
      <c r="E261" t="s">
        <v>34</v>
      </c>
      <c r="F261">
        <v>2020</v>
      </c>
    </row>
    <row r="262" spans="1:6" ht="13" x14ac:dyDescent="0.15">
      <c r="A262" t="s">
        <v>10</v>
      </c>
      <c r="B262" t="s">
        <v>7</v>
      </c>
      <c r="C262">
        <v>550</v>
      </c>
      <c r="D262" t="s">
        <v>31</v>
      </c>
      <c r="E262" t="s">
        <v>34</v>
      </c>
      <c r="F262">
        <v>2020</v>
      </c>
    </row>
    <row r="263" spans="1:6" ht="13" x14ac:dyDescent="0.15">
      <c r="A263" t="s">
        <v>10</v>
      </c>
      <c r="B263" t="s">
        <v>11</v>
      </c>
      <c r="C263">
        <v>2310</v>
      </c>
      <c r="D263" t="s">
        <v>31</v>
      </c>
      <c r="E263" t="s">
        <v>34</v>
      </c>
      <c r="F263">
        <v>2020</v>
      </c>
    </row>
    <row r="264" spans="1:6" ht="13" x14ac:dyDescent="0.15">
      <c r="A264" t="s">
        <v>10</v>
      </c>
      <c r="B264" t="s">
        <v>13</v>
      </c>
      <c r="C264">
        <v>310950</v>
      </c>
      <c r="D264" t="s">
        <v>31</v>
      </c>
      <c r="E264" t="s">
        <v>34</v>
      </c>
      <c r="F264">
        <v>2020</v>
      </c>
    </row>
    <row r="265" spans="1:6" ht="13" x14ac:dyDescent="0.15">
      <c r="A265" t="s">
        <v>10</v>
      </c>
      <c r="B265" t="s">
        <v>15</v>
      </c>
      <c r="C265">
        <v>390854</v>
      </c>
      <c r="D265" t="s">
        <v>31</v>
      </c>
      <c r="E265" t="s">
        <v>34</v>
      </c>
      <c r="F265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C2A8-50A6-894A-A07A-DB8401BE41E3}">
  <dimension ref="A1:K23"/>
  <sheetViews>
    <sheetView workbookViewId="0">
      <selection activeCell="K5" sqref="K5"/>
    </sheetView>
  </sheetViews>
  <sheetFormatPr baseColWidth="10" defaultRowHeight="13" x14ac:dyDescent="0.15"/>
  <cols>
    <col min="1" max="1" width="13.1640625" bestFit="1" customWidth="1"/>
    <col min="2" max="2" width="15.83203125" bestFit="1" customWidth="1"/>
    <col min="3" max="5" width="8.1640625" bestFit="1" customWidth="1"/>
    <col min="6" max="7" width="10.6640625" bestFit="1" customWidth="1"/>
    <col min="8" max="8" width="12.1640625" bestFit="1" customWidth="1"/>
  </cols>
  <sheetData>
    <row r="1" spans="1:11" x14ac:dyDescent="0.15">
      <c r="A1" s="14" t="s">
        <v>5</v>
      </c>
      <c r="B1" s="15">
        <v>2020</v>
      </c>
    </row>
    <row r="2" spans="1:11" x14ac:dyDescent="0.15">
      <c r="A2" s="14" t="s">
        <v>1</v>
      </c>
      <c r="B2" t="s">
        <v>47</v>
      </c>
      <c r="K2" s="16" t="s">
        <v>49</v>
      </c>
    </row>
    <row r="3" spans="1:11" x14ac:dyDescent="0.15">
      <c r="K3" s="5" t="s">
        <v>52</v>
      </c>
    </row>
    <row r="4" spans="1:11" x14ac:dyDescent="0.15">
      <c r="A4" s="14" t="s">
        <v>46</v>
      </c>
      <c r="B4" s="14" t="s">
        <v>45</v>
      </c>
      <c r="K4" s="5" t="s">
        <v>66</v>
      </c>
    </row>
    <row r="5" spans="1:11" x14ac:dyDescent="0.15">
      <c r="A5" s="14" t="s">
        <v>44</v>
      </c>
      <c r="B5" t="s">
        <v>9</v>
      </c>
      <c r="C5" t="s">
        <v>32</v>
      </c>
      <c r="D5" t="s">
        <v>33</v>
      </c>
      <c r="E5" t="s">
        <v>34</v>
      </c>
      <c r="F5" t="s">
        <v>29</v>
      </c>
      <c r="H5" s="17" t="s">
        <v>48</v>
      </c>
    </row>
    <row r="6" spans="1:11" x14ac:dyDescent="0.15">
      <c r="A6" s="15" t="s">
        <v>10</v>
      </c>
      <c r="B6" s="13">
        <v>706850</v>
      </c>
      <c r="C6" s="13">
        <v>684820</v>
      </c>
      <c r="D6" s="13">
        <v>655101</v>
      </c>
      <c r="E6" s="13">
        <v>704664</v>
      </c>
      <c r="F6" s="13">
        <v>2751435</v>
      </c>
      <c r="H6" s="11">
        <f>MEDIAN(B6:E6)</f>
        <v>694742</v>
      </c>
    </row>
    <row r="7" spans="1:11" x14ac:dyDescent="0.15">
      <c r="A7" s="15" t="s">
        <v>12</v>
      </c>
      <c r="B7" s="13">
        <v>109800</v>
      </c>
      <c r="C7" s="13">
        <v>108268</v>
      </c>
      <c r="D7" s="13">
        <v>106106</v>
      </c>
      <c r="E7" s="13">
        <v>101818</v>
      </c>
      <c r="F7" s="13">
        <v>425992</v>
      </c>
      <c r="H7" s="11">
        <f t="shared" ref="H7:H22" si="0">MEDIAN(B7:E7)</f>
        <v>107187</v>
      </c>
    </row>
    <row r="8" spans="1:11" x14ac:dyDescent="0.15">
      <c r="A8" s="15" t="s">
        <v>14</v>
      </c>
      <c r="B8" s="13">
        <v>390862</v>
      </c>
      <c r="C8" s="13">
        <v>385096</v>
      </c>
      <c r="D8" s="13">
        <v>378493</v>
      </c>
      <c r="E8" s="13">
        <v>374982</v>
      </c>
      <c r="F8" s="13">
        <v>1529433</v>
      </c>
      <c r="H8" s="11">
        <f t="shared" si="0"/>
        <v>381794.5</v>
      </c>
    </row>
    <row r="9" spans="1:11" x14ac:dyDescent="0.15">
      <c r="A9" s="15" t="s">
        <v>16</v>
      </c>
      <c r="B9" s="13">
        <v>192446</v>
      </c>
      <c r="C9" s="13">
        <v>195073</v>
      </c>
      <c r="D9" s="13">
        <v>191407</v>
      </c>
      <c r="E9" s="13">
        <v>189235</v>
      </c>
      <c r="F9" s="13">
        <v>768161</v>
      </c>
      <c r="H9" s="11">
        <f t="shared" si="0"/>
        <v>191926.5</v>
      </c>
    </row>
    <row r="10" spans="1:11" x14ac:dyDescent="0.15">
      <c r="A10" s="15" t="s">
        <v>17</v>
      </c>
      <c r="B10" s="13">
        <v>535756</v>
      </c>
      <c r="C10" s="13">
        <v>541571</v>
      </c>
      <c r="D10" s="13">
        <v>528756</v>
      </c>
      <c r="E10" s="13">
        <v>519573</v>
      </c>
      <c r="F10" s="13">
        <v>2125656</v>
      </c>
      <c r="H10" s="11">
        <f t="shared" si="0"/>
        <v>532256</v>
      </c>
    </row>
    <row r="11" spans="1:11" x14ac:dyDescent="0.15">
      <c r="A11" s="15" t="s">
        <v>18</v>
      </c>
      <c r="B11" s="13">
        <v>608082</v>
      </c>
      <c r="C11" s="13">
        <v>616053</v>
      </c>
      <c r="D11" s="13">
        <v>604615</v>
      </c>
      <c r="E11" s="13">
        <v>589737</v>
      </c>
      <c r="F11" s="13">
        <v>2418487</v>
      </c>
      <c r="H11" s="11">
        <f t="shared" si="0"/>
        <v>606348.5</v>
      </c>
    </row>
    <row r="12" spans="1:11" x14ac:dyDescent="0.15">
      <c r="A12" s="15" t="s">
        <v>19</v>
      </c>
      <c r="B12" s="13">
        <v>500054</v>
      </c>
      <c r="C12" s="13">
        <v>495969</v>
      </c>
      <c r="D12" s="13">
        <v>486182</v>
      </c>
      <c r="E12" s="13">
        <v>473471</v>
      </c>
      <c r="F12" s="13">
        <v>1955676</v>
      </c>
      <c r="H12" s="11">
        <f t="shared" si="0"/>
        <v>491075.5</v>
      </c>
    </row>
    <row r="13" spans="1:11" x14ac:dyDescent="0.15">
      <c r="A13" s="15" t="s">
        <v>20</v>
      </c>
      <c r="B13" s="13">
        <v>359156</v>
      </c>
      <c r="C13" s="13">
        <v>353569</v>
      </c>
      <c r="D13" s="13">
        <v>349956</v>
      </c>
      <c r="E13" s="13">
        <v>341434</v>
      </c>
      <c r="F13" s="13">
        <v>1404115</v>
      </c>
      <c r="H13" s="11">
        <f t="shared" si="0"/>
        <v>351762.5</v>
      </c>
    </row>
    <row r="14" spans="1:11" x14ac:dyDescent="0.15">
      <c r="A14" s="15" t="s">
        <v>6</v>
      </c>
      <c r="B14" s="13">
        <v>397411</v>
      </c>
      <c r="C14" s="13">
        <v>408502</v>
      </c>
      <c r="D14" s="13">
        <v>400389</v>
      </c>
      <c r="E14" s="13">
        <v>382728</v>
      </c>
      <c r="F14" s="13">
        <v>1589030</v>
      </c>
      <c r="H14" s="11">
        <f t="shared" si="0"/>
        <v>398900</v>
      </c>
    </row>
    <row r="15" spans="1:11" x14ac:dyDescent="0.15">
      <c r="A15" s="15" t="s">
        <v>21</v>
      </c>
      <c r="B15" s="13">
        <v>728048</v>
      </c>
      <c r="C15" s="13">
        <v>733748</v>
      </c>
      <c r="D15" s="13">
        <v>725394</v>
      </c>
      <c r="E15" s="13">
        <v>711658</v>
      </c>
      <c r="F15" s="13">
        <v>2898848</v>
      </c>
      <c r="H15" s="11">
        <f t="shared" si="0"/>
        <v>726721</v>
      </c>
    </row>
    <row r="16" spans="1:11" x14ac:dyDescent="0.15">
      <c r="A16" s="15" t="s">
        <v>22</v>
      </c>
      <c r="B16" s="13">
        <v>638105</v>
      </c>
      <c r="C16" s="13">
        <v>631919</v>
      </c>
      <c r="D16" s="13">
        <v>617711</v>
      </c>
      <c r="E16" s="13">
        <v>607903</v>
      </c>
      <c r="F16" s="13">
        <v>2495638</v>
      </c>
      <c r="H16" s="11">
        <f t="shared" si="0"/>
        <v>624815</v>
      </c>
    </row>
    <row r="17" spans="1:8" x14ac:dyDescent="0.15">
      <c r="A17" s="15" t="s">
        <v>23</v>
      </c>
      <c r="B17" s="13">
        <v>546617</v>
      </c>
      <c r="C17" s="13">
        <v>548075</v>
      </c>
      <c r="D17" s="13">
        <v>534619</v>
      </c>
      <c r="E17" s="13">
        <v>520212</v>
      </c>
      <c r="F17" s="13">
        <v>2149523</v>
      </c>
      <c r="H17" s="11">
        <f t="shared" si="0"/>
        <v>540618</v>
      </c>
    </row>
    <row r="18" spans="1:8" x14ac:dyDescent="0.15">
      <c r="A18" s="15" t="s">
        <v>24</v>
      </c>
      <c r="B18" s="13">
        <v>518987</v>
      </c>
      <c r="C18" s="13">
        <v>511262</v>
      </c>
      <c r="D18" s="13">
        <v>498338</v>
      </c>
      <c r="E18" s="13">
        <v>486430</v>
      </c>
      <c r="F18" s="13">
        <v>2015017</v>
      </c>
      <c r="H18" s="11">
        <f t="shared" si="0"/>
        <v>504800</v>
      </c>
    </row>
    <row r="19" spans="1:8" x14ac:dyDescent="0.15">
      <c r="A19" s="15" t="s">
        <v>25</v>
      </c>
      <c r="B19" s="13">
        <v>453132</v>
      </c>
      <c r="C19" s="13">
        <v>448017</v>
      </c>
      <c r="D19" s="13">
        <v>437115</v>
      </c>
      <c r="E19" s="13">
        <v>421953</v>
      </c>
      <c r="F19" s="13">
        <v>1760217</v>
      </c>
      <c r="H19" s="11">
        <f t="shared" si="0"/>
        <v>442566</v>
      </c>
    </row>
    <row r="20" spans="1:8" x14ac:dyDescent="0.15">
      <c r="A20" s="15" t="s">
        <v>26</v>
      </c>
      <c r="B20" s="13">
        <v>411581</v>
      </c>
      <c r="C20" s="13">
        <v>409177</v>
      </c>
      <c r="D20" s="13">
        <v>399908</v>
      </c>
      <c r="E20" s="13">
        <v>389383</v>
      </c>
      <c r="F20" s="13">
        <v>1610049</v>
      </c>
      <c r="H20" s="11">
        <f t="shared" si="0"/>
        <v>404542.5</v>
      </c>
    </row>
    <row r="21" spans="1:8" x14ac:dyDescent="0.15">
      <c r="A21" s="15" t="s">
        <v>27</v>
      </c>
      <c r="B21" s="13">
        <v>408433</v>
      </c>
      <c r="C21" s="13">
        <v>411718</v>
      </c>
      <c r="D21" s="13">
        <v>395168</v>
      </c>
      <c r="E21" s="13">
        <v>316715</v>
      </c>
      <c r="F21" s="13">
        <v>1532034</v>
      </c>
      <c r="H21" s="11">
        <f t="shared" si="0"/>
        <v>401800.5</v>
      </c>
    </row>
    <row r="22" spans="1:8" x14ac:dyDescent="0.15">
      <c r="A22" s="15" t="s">
        <v>28</v>
      </c>
      <c r="B22" s="13">
        <v>329619</v>
      </c>
      <c r="C22" s="13"/>
      <c r="D22" s="13"/>
      <c r="E22" s="13">
        <v>315020</v>
      </c>
      <c r="F22" s="13">
        <v>644639</v>
      </c>
      <c r="H22" s="11">
        <f t="shared" si="0"/>
        <v>322319.5</v>
      </c>
    </row>
    <row r="23" spans="1:8" x14ac:dyDescent="0.15">
      <c r="A23" s="15" t="s">
        <v>29</v>
      </c>
      <c r="B23" s="13">
        <v>7834939</v>
      </c>
      <c r="C23" s="13">
        <v>7482837</v>
      </c>
      <c r="D23" s="13">
        <v>7309258</v>
      </c>
      <c r="E23" s="13">
        <v>7446916</v>
      </c>
      <c r="F23" s="13">
        <v>30073950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5BA9-008A-524A-80E3-2E9E0B974C99}">
  <dimension ref="A1:F20"/>
  <sheetViews>
    <sheetView workbookViewId="0">
      <selection activeCell="F1" sqref="F1"/>
    </sheetView>
  </sheetViews>
  <sheetFormatPr baseColWidth="10" defaultRowHeight="13" x14ac:dyDescent="0.15"/>
  <sheetData>
    <row r="1" spans="1:6" ht="16" x14ac:dyDescent="0.2">
      <c r="A1" s="2" t="s">
        <v>0</v>
      </c>
      <c r="B1" s="9" t="s">
        <v>41</v>
      </c>
      <c r="C1" s="9" t="s">
        <v>42</v>
      </c>
      <c r="D1" s="9" t="s">
        <v>36</v>
      </c>
      <c r="E1" s="9" t="s">
        <v>37</v>
      </c>
    </row>
    <row r="2" spans="1:6" x14ac:dyDescent="0.15">
      <c r="A2" s="5" t="s">
        <v>17</v>
      </c>
      <c r="B2" s="22">
        <v>0.67059999999999997</v>
      </c>
      <c r="C2" s="22">
        <v>1</v>
      </c>
      <c r="D2" s="22">
        <v>0.87690000000000001</v>
      </c>
      <c r="E2" s="22">
        <v>0.58030000000000004</v>
      </c>
      <c r="F2" s="11"/>
    </row>
    <row r="3" spans="1:6" x14ac:dyDescent="0.15">
      <c r="A3" s="5" t="s">
        <v>18</v>
      </c>
      <c r="B3" s="22">
        <v>0.65370000000000006</v>
      </c>
      <c r="C3" s="22">
        <v>0.98230000000000006</v>
      </c>
      <c r="D3" s="22">
        <v>0.87849999999999995</v>
      </c>
      <c r="E3" s="22">
        <v>0.54789999999999994</v>
      </c>
      <c r="F3" s="11"/>
    </row>
    <row r="4" spans="1:6" x14ac:dyDescent="0.15">
      <c r="A4" s="5" t="s">
        <v>16</v>
      </c>
      <c r="B4" s="22">
        <v>0.62450000000000006</v>
      </c>
      <c r="C4" s="22">
        <v>0.97170000000000001</v>
      </c>
      <c r="D4" s="22">
        <v>0.8881</v>
      </c>
      <c r="E4" s="22">
        <v>0.56459999999999999</v>
      </c>
      <c r="F4" s="11"/>
    </row>
    <row r="5" spans="1:6" x14ac:dyDescent="0.15">
      <c r="A5" s="5" t="s">
        <v>23</v>
      </c>
      <c r="B5" s="22">
        <v>0.69499999999999995</v>
      </c>
      <c r="C5" s="22">
        <v>0.98069999999999991</v>
      </c>
      <c r="D5" s="22">
        <v>0.88519999999999999</v>
      </c>
      <c r="E5" s="22">
        <v>0.47810000000000002</v>
      </c>
      <c r="F5" s="11"/>
    </row>
    <row r="6" spans="1:6" x14ac:dyDescent="0.15">
      <c r="A6" s="5" t="s">
        <v>6</v>
      </c>
      <c r="B6" s="22">
        <v>0.57169999999999999</v>
      </c>
      <c r="C6" s="22">
        <v>0.89910000000000001</v>
      </c>
      <c r="D6" s="22">
        <v>0.89680000000000004</v>
      </c>
      <c r="E6" s="22">
        <v>0.62280000000000002</v>
      </c>
      <c r="F6" s="11"/>
    </row>
    <row r="7" spans="1:6" x14ac:dyDescent="0.15">
      <c r="A7" s="5" t="s">
        <v>14</v>
      </c>
      <c r="B7" s="22">
        <v>0.57100000000000006</v>
      </c>
      <c r="C7" s="22">
        <v>0.89989999999999992</v>
      </c>
      <c r="D7" s="22">
        <v>0.89849999999999997</v>
      </c>
      <c r="E7" s="22">
        <v>0.61539999999999995</v>
      </c>
      <c r="F7" s="11"/>
    </row>
    <row r="8" spans="1:6" x14ac:dyDescent="0.15">
      <c r="A8" s="5" t="s">
        <v>22</v>
      </c>
      <c r="B8" s="22">
        <v>0.66819999999999991</v>
      </c>
      <c r="C8" s="22">
        <v>0.97250000000000003</v>
      </c>
      <c r="D8" s="22">
        <v>0.85680000000000012</v>
      </c>
      <c r="E8" s="22">
        <v>0.44219999999999998</v>
      </c>
      <c r="F8" s="11"/>
    </row>
    <row r="9" spans="1:6" x14ac:dyDescent="0.15">
      <c r="A9" s="5" t="s">
        <v>12</v>
      </c>
      <c r="B9" s="22">
        <v>0.62319999999999998</v>
      </c>
      <c r="C9" s="22">
        <v>0.91400000000000003</v>
      </c>
      <c r="D9" s="22">
        <v>0.84760000000000002</v>
      </c>
      <c r="E9" s="22">
        <v>0.50529999999999997</v>
      </c>
      <c r="F9" s="11"/>
    </row>
    <row r="10" spans="1:6" x14ac:dyDescent="0.15">
      <c r="A10" s="5" t="s">
        <v>25</v>
      </c>
      <c r="B10" s="22">
        <v>0.73360000000000003</v>
      </c>
      <c r="C10" s="22">
        <v>0.99230000000000007</v>
      </c>
      <c r="D10" s="22">
        <v>0.76749999999999996</v>
      </c>
      <c r="E10" s="22">
        <v>0.38049999999999995</v>
      </c>
      <c r="F10" s="11"/>
    </row>
    <row r="11" spans="1:6" x14ac:dyDescent="0.15">
      <c r="A11" s="5" t="s">
        <v>28</v>
      </c>
      <c r="B11" s="22">
        <v>0.6431</v>
      </c>
      <c r="C11" s="22">
        <v>0.94840000000000002</v>
      </c>
      <c r="D11" s="22">
        <v>0.82200000000000006</v>
      </c>
      <c r="E11" s="22">
        <v>0.40770000000000001</v>
      </c>
      <c r="F11" s="11"/>
    </row>
    <row r="12" spans="1:6" x14ac:dyDescent="0.15">
      <c r="A12" s="5" t="s">
        <v>26</v>
      </c>
      <c r="B12" s="22">
        <v>0.60450000000000004</v>
      </c>
      <c r="C12" s="22">
        <v>0.93870000000000009</v>
      </c>
      <c r="D12" s="22">
        <v>0.85439999999999994</v>
      </c>
      <c r="E12" s="22">
        <v>0.4153</v>
      </c>
      <c r="F12" s="11"/>
    </row>
    <row r="13" spans="1:6" x14ac:dyDescent="0.15">
      <c r="A13" s="5" t="s">
        <v>21</v>
      </c>
      <c r="B13" s="22">
        <v>0.63580000000000003</v>
      </c>
      <c r="C13" s="22">
        <v>0.92680000000000007</v>
      </c>
      <c r="D13" s="22">
        <v>0.82269999999999999</v>
      </c>
      <c r="E13" s="22">
        <v>0.42310000000000003</v>
      </c>
      <c r="F13" s="11"/>
    </row>
    <row r="14" spans="1:6" x14ac:dyDescent="0.15">
      <c r="A14" s="5" t="s">
        <v>35</v>
      </c>
      <c r="B14" s="22">
        <v>0.58609999999999995</v>
      </c>
      <c r="C14" s="22">
        <v>0.90260000000000007</v>
      </c>
      <c r="D14" s="22">
        <v>0.81120000000000003</v>
      </c>
      <c r="E14" s="22">
        <v>0.46</v>
      </c>
      <c r="F14" s="11"/>
    </row>
    <row r="15" spans="1:6" x14ac:dyDescent="0.15">
      <c r="A15" s="5" t="s">
        <v>24</v>
      </c>
      <c r="B15" s="22">
        <v>0.61750000000000005</v>
      </c>
      <c r="C15" s="22">
        <v>0.91599999999999993</v>
      </c>
      <c r="D15" s="22">
        <v>0.80049999999999999</v>
      </c>
      <c r="E15" s="22">
        <v>0.42080000000000001</v>
      </c>
      <c r="F15" s="11"/>
    </row>
    <row r="16" spans="1:6" x14ac:dyDescent="0.15">
      <c r="A16" s="5" t="s">
        <v>27</v>
      </c>
      <c r="B16" s="22">
        <v>0.64410000000000001</v>
      </c>
      <c r="C16" s="22">
        <v>0.9224</v>
      </c>
      <c r="D16" s="22">
        <v>0.75890000000000002</v>
      </c>
      <c r="E16" s="22">
        <v>0.37450000000000006</v>
      </c>
      <c r="F16" s="11"/>
    </row>
    <row r="17" spans="1:6" x14ac:dyDescent="0.15">
      <c r="A17" s="5" t="s">
        <v>19</v>
      </c>
      <c r="B17" s="22">
        <v>0.65239999999999998</v>
      </c>
      <c r="C17" s="22">
        <v>0.91700000000000004</v>
      </c>
      <c r="D17" s="22">
        <v>0.74239999999999995</v>
      </c>
      <c r="E17" s="22">
        <v>0.34429999999999999</v>
      </c>
      <c r="F17" s="11"/>
    </row>
    <row r="18" spans="1:6" x14ac:dyDescent="0.15">
      <c r="A18" s="5" t="s">
        <v>10</v>
      </c>
      <c r="B18" s="22">
        <v>0.53649999999999998</v>
      </c>
      <c r="C18" s="22">
        <v>0.71510000000000007</v>
      </c>
      <c r="D18" s="22">
        <v>0.36479999999999996</v>
      </c>
      <c r="E18" s="22">
        <v>0.10589999999999999</v>
      </c>
      <c r="F18" s="11"/>
    </row>
    <row r="20" spans="1:6" x14ac:dyDescent="0.15">
      <c r="E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0260-1A78-F54E-9604-19DA4DB8D3B9}">
  <dimension ref="A1:G29"/>
  <sheetViews>
    <sheetView workbookViewId="0">
      <selection activeCell="G17" sqref="G17"/>
    </sheetView>
  </sheetViews>
  <sheetFormatPr baseColWidth="10" defaultRowHeight="13" x14ac:dyDescent="0.15"/>
  <cols>
    <col min="6" max="6" width="10.83203125" style="20"/>
  </cols>
  <sheetData>
    <row r="1" spans="1:7" ht="16" x14ac:dyDescent="0.2">
      <c r="A1" s="2" t="s">
        <v>0</v>
      </c>
      <c r="B1" s="9" t="s">
        <v>41</v>
      </c>
      <c r="C1" s="9" t="s">
        <v>42</v>
      </c>
      <c r="D1" s="9" t="s">
        <v>36</v>
      </c>
      <c r="E1" s="9" t="s">
        <v>37</v>
      </c>
      <c r="F1" s="3" t="s">
        <v>43</v>
      </c>
    </row>
    <row r="2" spans="1:7" x14ac:dyDescent="0.15">
      <c r="A2" s="5" t="s">
        <v>17</v>
      </c>
      <c r="B2" s="5">
        <v>67.06</v>
      </c>
      <c r="C2" s="5">
        <v>100</v>
      </c>
      <c r="D2" s="5">
        <v>87.69</v>
      </c>
      <c r="E2" s="5">
        <v>58.03</v>
      </c>
      <c r="F2" s="18">
        <f>(AVERAGE(B2:E2))/100</f>
        <v>0.78194999999999992</v>
      </c>
      <c r="G2" s="11"/>
    </row>
    <row r="3" spans="1:7" x14ac:dyDescent="0.15">
      <c r="A3" s="5" t="s">
        <v>18</v>
      </c>
      <c r="B3" s="5">
        <v>65.37</v>
      </c>
      <c r="C3" s="5">
        <v>98.23</v>
      </c>
      <c r="D3" s="5">
        <v>87.85</v>
      </c>
      <c r="E3" s="5">
        <v>54.79</v>
      </c>
      <c r="F3" s="18">
        <f t="shared" ref="F3:F18" si="0">(AVERAGE(B3:E3))/100</f>
        <v>0.76560000000000006</v>
      </c>
      <c r="G3" s="11"/>
    </row>
    <row r="4" spans="1:7" x14ac:dyDescent="0.15">
      <c r="A4" s="5" t="s">
        <v>16</v>
      </c>
      <c r="B4" s="5">
        <v>62.45</v>
      </c>
      <c r="C4" s="5">
        <v>97.17</v>
      </c>
      <c r="D4" s="5">
        <v>88.81</v>
      </c>
      <c r="E4" s="5">
        <v>56.46</v>
      </c>
      <c r="F4" s="18">
        <f t="shared" si="0"/>
        <v>0.76222499999999993</v>
      </c>
      <c r="G4" s="11"/>
    </row>
    <row r="5" spans="1:7" x14ac:dyDescent="0.15">
      <c r="A5" s="5" t="s">
        <v>23</v>
      </c>
      <c r="B5" s="5">
        <v>69.5</v>
      </c>
      <c r="C5" s="5">
        <v>98.07</v>
      </c>
      <c r="D5" s="5">
        <v>88.52</v>
      </c>
      <c r="E5" s="5">
        <v>47.81</v>
      </c>
      <c r="F5" s="18">
        <f t="shared" si="0"/>
        <v>0.75974999999999993</v>
      </c>
      <c r="G5" s="11"/>
    </row>
    <row r="6" spans="1:7" x14ac:dyDescent="0.15">
      <c r="A6" s="5" t="s">
        <v>6</v>
      </c>
      <c r="B6" s="5">
        <v>57.17</v>
      </c>
      <c r="C6" s="5">
        <v>89.91</v>
      </c>
      <c r="D6" s="5">
        <v>89.68</v>
      </c>
      <c r="E6" s="5">
        <v>62.28</v>
      </c>
      <c r="F6" s="18">
        <f t="shared" si="0"/>
        <v>0.74759999999999993</v>
      </c>
      <c r="G6" s="11"/>
    </row>
    <row r="7" spans="1:7" x14ac:dyDescent="0.15">
      <c r="A7" s="5" t="s">
        <v>14</v>
      </c>
      <c r="B7" s="5">
        <v>57.1</v>
      </c>
      <c r="C7" s="5">
        <v>89.99</v>
      </c>
      <c r="D7" s="5">
        <v>89.85</v>
      </c>
      <c r="E7" s="5">
        <v>61.54</v>
      </c>
      <c r="F7" s="18">
        <f t="shared" si="0"/>
        <v>0.74620000000000009</v>
      </c>
      <c r="G7" s="11"/>
    </row>
    <row r="8" spans="1:7" x14ac:dyDescent="0.15">
      <c r="A8" s="5" t="s">
        <v>22</v>
      </c>
      <c r="B8" s="5">
        <v>66.819999999999993</v>
      </c>
      <c r="C8" s="5">
        <v>97.25</v>
      </c>
      <c r="D8" s="5">
        <v>85.68</v>
      </c>
      <c r="E8" s="5">
        <v>44.22</v>
      </c>
      <c r="F8" s="18">
        <f t="shared" si="0"/>
        <v>0.73492500000000005</v>
      </c>
      <c r="G8" s="11"/>
    </row>
    <row r="9" spans="1:7" x14ac:dyDescent="0.15">
      <c r="A9" s="5" t="s">
        <v>12</v>
      </c>
      <c r="B9" s="5">
        <v>62.32</v>
      </c>
      <c r="C9" s="5">
        <v>91.4</v>
      </c>
      <c r="D9" s="5">
        <v>84.76</v>
      </c>
      <c r="E9" s="5">
        <v>50.53</v>
      </c>
      <c r="F9" s="18">
        <f t="shared" si="0"/>
        <v>0.72252499999999997</v>
      </c>
      <c r="G9" s="11"/>
    </row>
    <row r="10" spans="1:7" x14ac:dyDescent="0.15">
      <c r="A10" s="5" t="s">
        <v>25</v>
      </c>
      <c r="B10" s="5">
        <v>73.36</v>
      </c>
      <c r="C10" s="5">
        <v>99.23</v>
      </c>
      <c r="D10" s="5">
        <v>76.75</v>
      </c>
      <c r="E10" s="5">
        <v>38.049999999999997</v>
      </c>
      <c r="F10" s="18">
        <f t="shared" si="0"/>
        <v>0.71847499999999997</v>
      </c>
      <c r="G10" s="11"/>
    </row>
    <row r="11" spans="1:7" x14ac:dyDescent="0.15">
      <c r="A11" s="5" t="s">
        <v>28</v>
      </c>
      <c r="B11" s="5">
        <v>64.31</v>
      </c>
      <c r="C11" s="5">
        <v>94.84</v>
      </c>
      <c r="D11" s="5">
        <v>82.2</v>
      </c>
      <c r="E11" s="5">
        <v>40.770000000000003</v>
      </c>
      <c r="F11" s="18">
        <f t="shared" si="0"/>
        <v>0.70530000000000004</v>
      </c>
      <c r="G11" s="11"/>
    </row>
    <row r="12" spans="1:7" x14ac:dyDescent="0.15">
      <c r="A12" s="5" t="s">
        <v>26</v>
      </c>
      <c r="B12" s="5">
        <v>60.45</v>
      </c>
      <c r="C12" s="5">
        <v>93.87</v>
      </c>
      <c r="D12" s="5">
        <v>85.44</v>
      </c>
      <c r="E12" s="5">
        <v>41.53</v>
      </c>
      <c r="F12" s="18">
        <f t="shared" si="0"/>
        <v>0.70322499999999988</v>
      </c>
      <c r="G12" s="11"/>
    </row>
    <row r="13" spans="1:7" x14ac:dyDescent="0.15">
      <c r="A13" s="5" t="s">
        <v>21</v>
      </c>
      <c r="B13" s="5">
        <v>63.58</v>
      </c>
      <c r="C13" s="5">
        <v>92.68</v>
      </c>
      <c r="D13" s="5">
        <v>82.27</v>
      </c>
      <c r="E13" s="5">
        <v>42.31</v>
      </c>
      <c r="F13" s="18">
        <f t="shared" si="0"/>
        <v>0.70209999999999995</v>
      </c>
      <c r="G13" s="11"/>
    </row>
    <row r="14" spans="1:7" x14ac:dyDescent="0.15">
      <c r="A14" s="5" t="s">
        <v>35</v>
      </c>
      <c r="B14" s="5">
        <v>58.61</v>
      </c>
      <c r="C14" s="5">
        <v>90.26</v>
      </c>
      <c r="D14" s="5">
        <v>81.12</v>
      </c>
      <c r="E14" s="5">
        <v>46</v>
      </c>
      <c r="F14" s="18">
        <f t="shared" si="0"/>
        <v>0.689975</v>
      </c>
      <c r="G14" s="11"/>
    </row>
    <row r="15" spans="1:7" x14ac:dyDescent="0.15">
      <c r="A15" s="5" t="s">
        <v>24</v>
      </c>
      <c r="B15" s="5">
        <v>61.75</v>
      </c>
      <c r="C15" s="5">
        <v>91.6</v>
      </c>
      <c r="D15" s="5">
        <v>80.05</v>
      </c>
      <c r="E15" s="5">
        <v>42.08</v>
      </c>
      <c r="F15" s="18">
        <f t="shared" si="0"/>
        <v>0.68869999999999987</v>
      </c>
      <c r="G15" s="11"/>
    </row>
    <row r="16" spans="1:7" x14ac:dyDescent="0.15">
      <c r="A16" s="5" t="s">
        <v>27</v>
      </c>
      <c r="B16" s="5">
        <v>64.41</v>
      </c>
      <c r="C16" s="5">
        <v>92.24</v>
      </c>
      <c r="D16" s="5">
        <v>75.89</v>
      </c>
      <c r="E16" s="5">
        <v>37.450000000000003</v>
      </c>
      <c r="F16" s="18">
        <f t="shared" si="0"/>
        <v>0.67497499999999988</v>
      </c>
      <c r="G16" s="11"/>
    </row>
    <row r="17" spans="1:7" x14ac:dyDescent="0.15">
      <c r="A17" s="5" t="s">
        <v>19</v>
      </c>
      <c r="B17" s="5">
        <v>65.239999999999995</v>
      </c>
      <c r="C17" s="5">
        <v>91.7</v>
      </c>
      <c r="D17" s="5">
        <v>74.239999999999995</v>
      </c>
      <c r="E17" s="5">
        <v>34.43</v>
      </c>
      <c r="F17" s="18">
        <f t="shared" si="0"/>
        <v>0.66402500000000009</v>
      </c>
      <c r="G17" s="11"/>
    </row>
    <row r="18" spans="1:7" x14ac:dyDescent="0.15">
      <c r="A18" s="5" t="s">
        <v>10</v>
      </c>
      <c r="B18" s="5">
        <v>53.65</v>
      </c>
      <c r="C18" s="5">
        <v>71.510000000000005</v>
      </c>
      <c r="D18" s="5">
        <v>36.479999999999997</v>
      </c>
      <c r="E18" s="5">
        <v>10.59</v>
      </c>
      <c r="F18" s="18">
        <f t="shared" si="0"/>
        <v>0.43057499999999999</v>
      </c>
      <c r="G18" s="11"/>
    </row>
    <row r="20" spans="1:7" x14ac:dyDescent="0.15">
      <c r="E20" s="21"/>
      <c r="F20" s="19"/>
    </row>
    <row r="24" spans="1:7" x14ac:dyDescent="0.15">
      <c r="A24" s="16" t="s">
        <v>49</v>
      </c>
    </row>
    <row r="25" spans="1:7" x14ac:dyDescent="0.15">
      <c r="A25" s="5" t="s">
        <v>50</v>
      </c>
    </row>
    <row r="26" spans="1:7" x14ac:dyDescent="0.15">
      <c r="A26" s="5" t="s">
        <v>65</v>
      </c>
    </row>
    <row r="27" spans="1:7" x14ac:dyDescent="0.15">
      <c r="A27" s="5"/>
    </row>
    <row r="28" spans="1:7" x14ac:dyDescent="0.15">
      <c r="A28" s="16" t="s">
        <v>59</v>
      </c>
    </row>
    <row r="29" spans="1:7" x14ac:dyDescent="0.15">
      <c r="A29" s="5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FF0E-5A4A-6140-B7E0-5D0FAA365101}">
  <dimension ref="A1:R33"/>
  <sheetViews>
    <sheetView tabSelected="1" zoomScaleNormal="100" workbookViewId="0">
      <selection activeCell="C36" sqref="C36"/>
    </sheetView>
  </sheetViews>
  <sheetFormatPr baseColWidth="10" defaultRowHeight="13" x14ac:dyDescent="0.15"/>
  <cols>
    <col min="2" max="2" width="28.33203125" bestFit="1" customWidth="1"/>
    <col min="3" max="3" width="24.1640625" bestFit="1" customWidth="1"/>
    <col min="4" max="4" width="12.33203125" customWidth="1"/>
    <col min="5" max="5" width="12.1640625" customWidth="1"/>
    <col min="17" max="17" width="10.83203125" customWidth="1"/>
  </cols>
  <sheetData>
    <row r="1" spans="1:18" ht="16" x14ac:dyDescent="0.2">
      <c r="A1" s="2" t="s">
        <v>0</v>
      </c>
      <c r="B1" s="2" t="s">
        <v>53</v>
      </c>
      <c r="C1" s="2" t="s">
        <v>40</v>
      </c>
      <c r="D1" s="6" t="s">
        <v>38</v>
      </c>
      <c r="E1" s="6" t="s">
        <v>39</v>
      </c>
    </row>
    <row r="2" spans="1:18" ht="16" x14ac:dyDescent="0.2">
      <c r="A2" s="1" t="s">
        <v>12</v>
      </c>
      <c r="B2" s="4">
        <v>107187</v>
      </c>
      <c r="C2" s="10">
        <f>_xlfn.XLOOKUP(A2,'Analysis_Enrollment Rate'!$A$2:$A$18,'Analysis_Enrollment Rate'!$F$2:$F$18)</f>
        <v>0.72252499999999997</v>
      </c>
      <c r="D2" s="7">
        <f>B2-(MEDIAN($B$2:$B$18))</f>
        <v>-335379</v>
      </c>
      <c r="E2" s="12">
        <f>C2-(MEDIAN($C$2:$C$18))</f>
        <v>4.049999999999998E-3</v>
      </c>
    </row>
    <row r="3" spans="1:18" ht="16" x14ac:dyDescent="0.2">
      <c r="A3" s="1" t="s">
        <v>6</v>
      </c>
      <c r="B3" s="4">
        <v>398900</v>
      </c>
      <c r="C3" s="10">
        <f>_xlfn.XLOOKUP(A3,'Analysis_Enrollment Rate'!$A$2:$A$18,'Analysis_Enrollment Rate'!$F$2:$F$18)</f>
        <v>0.74759999999999993</v>
      </c>
      <c r="D3" s="7">
        <f t="shared" ref="D3:D18" si="0">B3-(MEDIAN($B$2:$B$18))</f>
        <v>-43666</v>
      </c>
      <c r="E3" s="12">
        <f t="shared" ref="E3:E18" si="1">C3-(MEDIAN($C$2:$C$18))</f>
        <v>2.9124999999999956E-2</v>
      </c>
    </row>
    <row r="4" spans="1:18" ht="16" x14ac:dyDescent="0.2">
      <c r="A4" s="1" t="s">
        <v>18</v>
      </c>
      <c r="B4" s="4">
        <v>606348.5</v>
      </c>
      <c r="C4" s="10">
        <f>_xlfn.XLOOKUP(A4,'Analysis_Enrollment Rate'!$A$2:$A$18,'Analysis_Enrollment Rate'!$F$2:$F$18)</f>
        <v>0.76560000000000006</v>
      </c>
      <c r="D4" s="7">
        <f t="shared" si="0"/>
        <v>163782.5</v>
      </c>
      <c r="E4" s="12">
        <f t="shared" si="1"/>
        <v>4.7125000000000083E-2</v>
      </c>
      <c r="L4" s="16" t="s">
        <v>40</v>
      </c>
    </row>
    <row r="5" spans="1:18" ht="16" x14ac:dyDescent="0.2">
      <c r="A5" s="1" t="s">
        <v>17</v>
      </c>
      <c r="B5" s="4">
        <v>532256</v>
      </c>
      <c r="C5" s="10">
        <f>_xlfn.XLOOKUP(A5,'Analysis_Enrollment Rate'!$A$2:$A$18,'Analysis_Enrollment Rate'!$F$2:$F$18)</f>
        <v>0.78194999999999992</v>
      </c>
      <c r="D5" s="7">
        <f t="shared" si="0"/>
        <v>89690</v>
      </c>
      <c r="E5" s="12">
        <f t="shared" si="1"/>
        <v>6.3474999999999948E-2</v>
      </c>
    </row>
    <row r="6" spans="1:18" ht="16" x14ac:dyDescent="0.2">
      <c r="A6" s="1" t="s">
        <v>16</v>
      </c>
      <c r="B6" s="4">
        <v>191926.5</v>
      </c>
      <c r="C6" s="10">
        <f>_xlfn.XLOOKUP(A6,'Analysis_Enrollment Rate'!$A$2:$A$18,'Analysis_Enrollment Rate'!$F$2:$F$18)</f>
        <v>0.76222499999999993</v>
      </c>
      <c r="D6" s="7">
        <f t="shared" si="0"/>
        <v>-250639.5</v>
      </c>
      <c r="E6" s="12">
        <f t="shared" si="1"/>
        <v>4.3749999999999956E-2</v>
      </c>
    </row>
    <row r="7" spans="1:18" ht="16" x14ac:dyDescent="0.2">
      <c r="A7" s="1" t="s">
        <v>23</v>
      </c>
      <c r="B7" s="4">
        <v>540618</v>
      </c>
      <c r="C7" s="10">
        <f>_xlfn.XLOOKUP(A7,'Analysis_Enrollment Rate'!$A$2:$A$18,'Analysis_Enrollment Rate'!$F$2:$F$18)</f>
        <v>0.75974999999999993</v>
      </c>
      <c r="D7" s="7">
        <f t="shared" si="0"/>
        <v>98052</v>
      </c>
      <c r="E7" s="12">
        <f t="shared" si="1"/>
        <v>4.1274999999999951E-2</v>
      </c>
    </row>
    <row r="8" spans="1:18" ht="16" x14ac:dyDescent="0.2">
      <c r="A8" s="1" t="s">
        <v>14</v>
      </c>
      <c r="B8" s="4">
        <v>381794.5</v>
      </c>
      <c r="C8" s="10">
        <f>_xlfn.XLOOKUP(A8,'Analysis_Enrollment Rate'!$A$2:$A$18,'Analysis_Enrollment Rate'!$F$2:$F$18)</f>
        <v>0.74620000000000009</v>
      </c>
      <c r="D8" s="7">
        <f t="shared" si="0"/>
        <v>-60771.5</v>
      </c>
      <c r="E8" s="12">
        <f t="shared" si="1"/>
        <v>2.7725000000000111E-2</v>
      </c>
    </row>
    <row r="9" spans="1:18" ht="16" x14ac:dyDescent="0.2">
      <c r="A9" s="1" t="s">
        <v>22</v>
      </c>
      <c r="B9" s="4">
        <v>624815</v>
      </c>
      <c r="C9" s="10">
        <f>_xlfn.XLOOKUP(A9,'Analysis_Enrollment Rate'!$A$2:$A$18,'Analysis_Enrollment Rate'!$F$2:$F$18)</f>
        <v>0.73492500000000005</v>
      </c>
      <c r="D9" s="7">
        <f t="shared" si="0"/>
        <v>182249</v>
      </c>
      <c r="E9" s="12">
        <f t="shared" si="1"/>
        <v>1.6450000000000076E-2</v>
      </c>
    </row>
    <row r="10" spans="1:18" ht="16" x14ac:dyDescent="0.2">
      <c r="A10" s="1" t="s">
        <v>26</v>
      </c>
      <c r="B10" s="4">
        <v>404542.5</v>
      </c>
      <c r="C10" s="10">
        <f>_xlfn.XLOOKUP(A10,'Analysis_Enrollment Rate'!$A$2:$A$18,'Analysis_Enrollment Rate'!$F$2:$F$18)</f>
        <v>0.70322499999999988</v>
      </c>
      <c r="D10" s="7">
        <f t="shared" si="0"/>
        <v>-38023.5</v>
      </c>
      <c r="E10" s="12">
        <f t="shared" si="1"/>
        <v>-1.5250000000000097E-2</v>
      </c>
    </row>
    <row r="11" spans="1:18" ht="16" x14ac:dyDescent="0.2">
      <c r="A11" s="1" t="s">
        <v>27</v>
      </c>
      <c r="B11" s="4">
        <v>401800.5</v>
      </c>
      <c r="C11" s="10">
        <f>_xlfn.XLOOKUP(A11,'Analysis_Enrollment Rate'!$A$2:$A$18,'Analysis_Enrollment Rate'!$F$2:$F$18)</f>
        <v>0.67497499999999988</v>
      </c>
      <c r="D11" s="7">
        <f t="shared" si="0"/>
        <v>-40765.5</v>
      </c>
      <c r="E11" s="12">
        <f t="shared" si="1"/>
        <v>-4.3500000000000094E-2</v>
      </c>
      <c r="R11" s="16" t="s">
        <v>54</v>
      </c>
    </row>
    <row r="12" spans="1:18" ht="16" x14ac:dyDescent="0.2">
      <c r="A12" s="1" t="s">
        <v>25</v>
      </c>
      <c r="B12" s="4">
        <v>442566</v>
      </c>
      <c r="C12" s="10">
        <f>_xlfn.XLOOKUP(A12,'Analysis_Enrollment Rate'!$A$2:$A$18,'Analysis_Enrollment Rate'!$F$2:$F$18)</f>
        <v>0.71847499999999997</v>
      </c>
      <c r="D12" s="7">
        <f t="shared" si="0"/>
        <v>0</v>
      </c>
      <c r="E12" s="12">
        <f t="shared" si="1"/>
        <v>0</v>
      </c>
    </row>
    <row r="13" spans="1:18" ht="16" x14ac:dyDescent="0.2">
      <c r="A13" s="1" t="s">
        <v>35</v>
      </c>
      <c r="B13" s="4">
        <v>351762.5</v>
      </c>
      <c r="C13" s="10">
        <f>_xlfn.XLOOKUP(A13,'Analysis_Enrollment Rate'!$A$2:$A$18,'Analysis_Enrollment Rate'!$F$2:$F$18)</f>
        <v>0.689975</v>
      </c>
      <c r="D13" s="7">
        <f t="shared" si="0"/>
        <v>-90803.5</v>
      </c>
      <c r="E13" s="12">
        <f t="shared" si="1"/>
        <v>-2.849999999999997E-2</v>
      </c>
    </row>
    <row r="14" spans="1:18" ht="16" x14ac:dyDescent="0.2">
      <c r="A14" s="1" t="s">
        <v>24</v>
      </c>
      <c r="B14" s="4">
        <v>504800</v>
      </c>
      <c r="C14" s="10">
        <f>_xlfn.XLOOKUP(A14,'Analysis_Enrollment Rate'!$A$2:$A$18,'Analysis_Enrollment Rate'!$F$2:$F$18)</f>
        <v>0.68869999999999987</v>
      </c>
      <c r="D14" s="7">
        <f t="shared" si="0"/>
        <v>62234</v>
      </c>
      <c r="E14" s="12">
        <f t="shared" si="1"/>
        <v>-2.9775000000000107E-2</v>
      </c>
    </row>
    <row r="15" spans="1:18" ht="16" x14ac:dyDescent="0.2">
      <c r="A15" s="1" t="s">
        <v>28</v>
      </c>
      <c r="B15" s="4">
        <v>322319.5</v>
      </c>
      <c r="C15" s="10">
        <f>_xlfn.XLOOKUP(A15,'Analysis_Enrollment Rate'!$A$2:$A$18,'Analysis_Enrollment Rate'!$F$2:$F$18)</f>
        <v>0.70530000000000004</v>
      </c>
      <c r="D15" s="7">
        <f t="shared" si="0"/>
        <v>-120246.5</v>
      </c>
      <c r="E15" s="12">
        <f>C15-(MEDIAN($C$2:$C$18))</f>
        <v>-1.3174999999999937E-2</v>
      </c>
    </row>
    <row r="16" spans="1:18" ht="16" x14ac:dyDescent="0.2">
      <c r="A16" s="1" t="s">
        <v>21</v>
      </c>
      <c r="B16" s="4">
        <v>726721</v>
      </c>
      <c r="C16" s="10">
        <f>_xlfn.XLOOKUP(A16,'Analysis_Enrollment Rate'!$A$2:$A$18,'Analysis_Enrollment Rate'!$F$2:$F$18)</f>
        <v>0.70209999999999995</v>
      </c>
      <c r="D16" s="7">
        <f t="shared" si="0"/>
        <v>284155</v>
      </c>
      <c r="E16" s="12">
        <f t="shared" si="1"/>
        <v>-1.6375000000000028E-2</v>
      </c>
    </row>
    <row r="17" spans="1:5" ht="16" x14ac:dyDescent="0.2">
      <c r="A17" s="1" t="s">
        <v>19</v>
      </c>
      <c r="B17" s="4">
        <v>491075.5</v>
      </c>
      <c r="C17" s="10">
        <f>_xlfn.XLOOKUP(A17,'Analysis_Enrollment Rate'!$A$2:$A$18,'Analysis_Enrollment Rate'!$F$2:$F$18)</f>
        <v>0.66402500000000009</v>
      </c>
      <c r="D17" s="7">
        <f>B17-(MEDIAN($B$2:$B$18))</f>
        <v>48509.5</v>
      </c>
      <c r="E17" s="12">
        <f t="shared" si="1"/>
        <v>-5.4449999999999887E-2</v>
      </c>
    </row>
    <row r="18" spans="1:5" ht="16" x14ac:dyDescent="0.2">
      <c r="A18" s="1" t="s">
        <v>10</v>
      </c>
      <c r="B18" s="4">
        <v>694742</v>
      </c>
      <c r="C18" s="10">
        <f>_xlfn.XLOOKUP(A18,'Analysis_Enrollment Rate'!$A$2:$A$18,'Analysis_Enrollment Rate'!$F$2:$F$18)</f>
        <v>0.43057499999999999</v>
      </c>
      <c r="D18" s="7">
        <f t="shared" si="0"/>
        <v>252176</v>
      </c>
      <c r="E18" s="12">
        <f t="shared" si="1"/>
        <v>-0.28789999999999999</v>
      </c>
    </row>
    <row r="20" spans="1:5" x14ac:dyDescent="0.15">
      <c r="C20" s="8"/>
    </row>
    <row r="22" spans="1:5" x14ac:dyDescent="0.15">
      <c r="A22" s="16" t="s">
        <v>49</v>
      </c>
    </row>
    <row r="23" spans="1:5" x14ac:dyDescent="0.15">
      <c r="A23" s="5" t="s">
        <v>55</v>
      </c>
    </row>
    <row r="24" spans="1:5" x14ac:dyDescent="0.15">
      <c r="A24" s="5" t="s">
        <v>56</v>
      </c>
    </row>
    <row r="25" spans="1:5" x14ac:dyDescent="0.15">
      <c r="A25" s="5" t="s">
        <v>57</v>
      </c>
    </row>
    <row r="26" spans="1:5" x14ac:dyDescent="0.15">
      <c r="A26" s="5" t="s">
        <v>58</v>
      </c>
    </row>
    <row r="28" spans="1:5" x14ac:dyDescent="0.15">
      <c r="A28" s="16" t="s">
        <v>59</v>
      </c>
    </row>
    <row r="29" spans="1:5" x14ac:dyDescent="0.15">
      <c r="A29" s="5" t="s">
        <v>61</v>
      </c>
    </row>
    <row r="30" spans="1:5" x14ac:dyDescent="0.15">
      <c r="A30" s="5" t="s">
        <v>62</v>
      </c>
    </row>
    <row r="31" spans="1:5" x14ac:dyDescent="0.15">
      <c r="A31" s="5" t="s">
        <v>63</v>
      </c>
    </row>
    <row r="32" spans="1:5" x14ac:dyDescent="0.15">
      <c r="A32" s="5" t="s">
        <v>64</v>
      </c>
    </row>
    <row r="33" spans="1:1" x14ac:dyDescent="0.15">
      <c r="A33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Data_4Ps Beneficiaries</vt:lpstr>
      <vt:lpstr>Analysis_4Ps Beneficiaries</vt:lpstr>
      <vt:lpstr>Raw Data_Enrollment Rate</vt:lpstr>
      <vt:lpstr>Analysis_Enrollment Rate</vt:lpstr>
      <vt:lpstr>Matrix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Earl Spencer Aynera</cp:lastModifiedBy>
  <dcterms:created xsi:type="dcterms:W3CDTF">2025-11-04T11:35:45Z</dcterms:created>
  <dcterms:modified xsi:type="dcterms:W3CDTF">2025-11-17T08:41:04Z</dcterms:modified>
</cp:coreProperties>
</file>